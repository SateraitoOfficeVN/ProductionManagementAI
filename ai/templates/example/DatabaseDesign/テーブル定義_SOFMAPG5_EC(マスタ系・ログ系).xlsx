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172.168.100.18\d$\unitedcrew\10.案件\760_次期ECシステム構想\030_設計\010_基本設計\"/>
    </mc:Choice>
  </mc:AlternateContent>
  <xr:revisionPtr revIDLastSave="0" documentId="8_{106858E5-9681-4D41-857D-84613611C9B0}" xr6:coauthVersionLast="47" xr6:coauthVersionMax="47" xr10:uidLastSave="{00000000-0000-0000-0000-000000000000}"/>
  <bookViews>
    <workbookView xWindow="28680" yWindow="-120" windowWidth="29040" windowHeight="15720" tabRatio="924" activeTab="1" xr2:uid="{606407F6-689B-4DA1-90F7-012491869D70}"/>
  </bookViews>
  <sheets>
    <sheet name="法人会員情報マスタ２" sheetId="25" r:id="rId1"/>
    <sheet name="改版履歴" sheetId="1" r:id="rId2"/>
    <sheet name="テーブル一覧" sheetId="2" r:id="rId3"/>
    <sheet name="インデックス一覧" sheetId="6" r:id="rId4"/>
    <sheet name="トリガー一覧" sheetId="7" r:id="rId5"/>
    <sheet name="コンテンツ管理" sheetId="8" r:id="rId6"/>
    <sheet name="コンテンツ管理履歴" sheetId="9" r:id="rId7"/>
    <sheet name="商品グループ属性" sheetId="10" r:id="rId8"/>
    <sheet name="法人会員情報マスタ" sheetId="26" r:id="rId9"/>
    <sheet name="アンケートマスタ" sheetId="11" r:id="rId10"/>
    <sheet name="アンケートマスタ履歴" sheetId="13" r:id="rId11"/>
    <sheet name="オペレータ管理" sheetId="23" r:id="rId12"/>
    <sheet name="オペレータ管理履歴" sheetId="24" r:id="rId13"/>
    <sheet name="オペレーションログ" sheetId="5" r:id="rId14"/>
    <sheet name="管理オペレーションログ" sheetId="17" r:id="rId15"/>
    <sheet name="DGFTプッシュ通知履歴" sheetId="15" r:id="rId16"/>
    <sheet name="AmazonPay履歴" sheetId="18" r:id="rId17"/>
    <sheet name="リキャプチャ履歴" sheetId="19" r:id="rId18"/>
    <sheet name="ログインセッション" sheetId="20" r:id="rId19"/>
    <sheet name="汎用マスタ" sheetId="14" r:id="rId20"/>
    <sheet name="API履歴" sheetId="4" r:id="rId21"/>
    <sheet name="EC店舗マスタ" sheetId="21" r:id="rId22"/>
    <sheet name="ベリトランス履歴 (元)" sheetId="22" r:id="rId23"/>
    <sheet name="テーブルテンプレート" sheetId="16" r:id="rId24"/>
  </sheets>
  <externalReferences>
    <externalReference r:id="rId25"/>
    <externalReference r:id="rId26"/>
    <externalReference r:id="rId27"/>
    <externalReference r:id="rId28"/>
    <externalReference r:id="rId29"/>
    <externalReference r:id="rId30"/>
  </externalReferences>
  <definedNames>
    <definedName name="_BQ4.1" hidden="1">#REF!</definedName>
    <definedName name="_xlnm._FilterDatabase" localSheetId="3" hidden="1">インデックス一覧!$B$4:$V$14</definedName>
    <definedName name="_xlnm._FilterDatabase" localSheetId="0" hidden="1">法人会員情報マスタ２!$A$8:$Y$23</definedName>
    <definedName name="_xlnm._FilterDatabase" hidden="1">[1]ﾓｼﾞｭｰﾙ一覧!$A$5:$AH$255</definedName>
    <definedName name="_Key1" hidden="1">#REF!</definedName>
    <definedName name="_Order1" hidden="1">255</definedName>
    <definedName name="_Order2" hidden="1">255</definedName>
    <definedName name="_Regression_X" hidden="1">#REF!</definedName>
    <definedName name="a">[2]商品検索用テーブル!$C$8:$T$142</definedName>
    <definedName name="aaaa" hidden="1">{#N/A,#N/A,FALSE,"見積条件書";#N/A,#N/A,FALSE,"見積SB";#N/A,#N/A,FALSE,"見積工数試算表"}</definedName>
    <definedName name="aaaaaa" hidden="1">{#N/A,#N/A,FALSE,"Sheet1"}</definedName>
    <definedName name="aaaaaaaaaaaaaaaa" hidden="1">{#N/A,#N/A,FALSE,"Sheet1"}</definedName>
    <definedName name="aaaaaaaaaaaaaaaaaaaaaa" hidden="1">{#N/A,#N/A,FALSE,"Sheet1"}</definedName>
    <definedName name="ab" hidden="1">{#N/A,#N/A,FALSE,"Sheet1"}</definedName>
    <definedName name="AccessDatabase" hidden="1">"C:\My Documents\佐川急便\3･21向け設計\マスタ登録\マスタ登録.mdb"</definedName>
    <definedName name="aq" hidden="1">{#N/A,#N/A,FALSE,"Sheet1"}</definedName>
    <definedName name="aqq" hidden="1">{#N/A,#N/A,FALSE,"Sheet1"}</definedName>
    <definedName name="B.SE費" hidden="1">{#N/A,#N/A,FALSE,"Sheet1"}</definedName>
    <definedName name="ccccccccc" hidden="1">{#N/A,#N/A,FALSE,"Sheet1"}</definedName>
    <definedName name="dsa" hidden="1">{#N/A,#N/A,FALSE,"Sheet1"}</definedName>
    <definedName name="f">[3]商品検索用テーブル!$C$8:$T$117</definedName>
    <definedName name="fdsa" hidden="1">{#N/A,#N/A,FALSE,"Sheet1"}</definedName>
    <definedName name="fff">[4]商品検索用テーブル!$C$8:$T$117</definedName>
    <definedName name="ffff">[5]商品検索用テーブル!$C$8:$T$142</definedName>
    <definedName name="fsd" hidden="1">{#N/A,#N/A,FALSE,"Sheet1"}</definedName>
    <definedName name="ｇｔｇｔｇｔｇｔｇｔ" hidden="1">{#N/A,#N/A,FALSE,"Sheet1"}</definedName>
    <definedName name="hozondate">'[6]ﾊﾞｲﾔ企業（bc_buyer）'!$C$3</definedName>
    <definedName name="HTML_CodePage" hidden="1">932</definedName>
    <definedName name="HTML_Control" hidden="1">{"'ＩＮＤＥＸ（１）'!$B$2:$DN$56"}</definedName>
    <definedName name="HTML_CPNTROL" hidden="1">{"'開発サーバ'!$A$1:$B$2"}</definedName>
    <definedName name="HTML_Description" hidden="1">""</definedName>
    <definedName name="HTML_Email" hidden="1">""</definedName>
    <definedName name="HTML_Header" hidden="1">"ＩＮＤＥＸ（１）"</definedName>
    <definedName name="HTML_LastUpdate" hidden="1">"99/12/07"</definedName>
    <definedName name="HTML_LineAfter" hidden="1">FALSE</definedName>
    <definedName name="HTML_LineBefore" hidden="1">FALSE</definedName>
    <definedName name="HTML_Name" hidden="1">"奥田 英雄"</definedName>
    <definedName name="HTML_OBDlg2" hidden="1">TRUE</definedName>
    <definedName name="HTML_OBDlg4" hidden="1">TRUE</definedName>
    <definedName name="HTML_OS" hidden="1">0</definedName>
    <definedName name="HTML_PathFile" hidden="1">"A:\My Documents\MyHTML.htm"</definedName>
    <definedName name="HTML_Title" hidden="1">"MyForm"</definedName>
    <definedName name="HTML1_1" hidden="1">"[帳票管理資料.xls]集計表!$A$1:$R$32"</definedName>
    <definedName name="HTML1_10" hidden="1">""</definedName>
    <definedName name="HTML1_11" hidden="1">1</definedName>
    <definedName name="HTML1_12" hidden="1">"C:\My Documents\MyHTML.htm"</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1</definedName>
    <definedName name="ｊ" hidden="1">{"'ＩＮＤＥＸ（１）'!$B$2:$DN$56"}</definedName>
    <definedName name="ｌｐｌｐｌ" hidden="1">{#N/A,#N/A,FALSE,"Sheet1"}</definedName>
    <definedName name="ｌｐｐｌｌ" hidden="1">{#N/A,#N/A,FALSE,"Sheet1"}</definedName>
    <definedName name="q" hidden="1">{"'ＩＮＤＥＸ（１）'!$B$2:$DN$56"}</definedName>
    <definedName name="qqqq" hidden="1">{#N/A,#N/A,FALSE,"Sheet1"}</definedName>
    <definedName name="qqqqqq" hidden="1">{#N/A,#N/A,FALSE,"Sheet1"}</definedName>
    <definedName name="s">[3]商品検索用テーブル!$C$8:$T$117</definedName>
    <definedName name="Server仕切りつき" hidden="1">{#N/A,#N/A,FALSE,"Sheet1"}</definedName>
    <definedName name="shikiri" hidden="1">{#N/A,#N/A,FALSE,"Sheet1"}</definedName>
    <definedName name="uc_login_log">#REF!</definedName>
    <definedName name="uc_product_search">#REF!</definedName>
    <definedName name="Ｖ６ＳＯ" hidden="1">{#N/A,#N/A,FALSE,"中期資料営業店端末"}</definedName>
    <definedName name="wrn.継紙." hidden="1">{#N/A,#N/A,FALSE,"Sheet1"}</definedName>
    <definedName name="wrn.見積書." hidden="1">{#N/A,#N/A,FALSE,"見積条件書";#N/A,#N/A,FALSE,"見積SB";#N/A,#N/A,FALSE,"見積工数試算表"}</definedName>
    <definedName name="wrn.中期資料." hidden="1">{#N/A,#N/A,FALSE,"中期資料営業店端末"}</definedName>
    <definedName name="wrn継紙2" hidden="1">{#N/A,#N/A,FALSE,"Sheet1"}</definedName>
    <definedName name="yyyy">[4]商品検索用テーブル!$C$8:$T$117</definedName>
    <definedName name="zzz" hidden="1">{"'用語'!$B$4:$D$48"}</definedName>
    <definedName name="あＳ" hidden="1">{#N/A,#N/A,FALSE,"Sheet1"}</definedName>
    <definedName name="あああ" hidden="1">{"'開発サーバ'!$A$1:$B$2"}</definedName>
    <definedName name="んｎ" hidden="1">{#N/A,#N/A,FALSE,"中期資料営業店端末"}</definedName>
    <definedName name="下期予算実績管理表" hidden="1">{#N/A,#N/A,FALSE,"中期資料営業店端末"}</definedName>
    <definedName name="概算見積資料" hidden="1">{#N/A,#N/A,FALSE,"中期資料営業店端末"}</definedName>
    <definedName name="関連表" hidden="1">#REF!</definedName>
    <definedName name="構成と要件" hidden="1">{#N/A,#N/A,FALSE,"Sheet1"}</definedName>
    <definedName name="仕切り" hidden="1">{#N/A,#N/A,FALSE,"Sheet1"}</definedName>
    <definedName name="状況集計画面" hidden="1">{#N/A,#N/A,FALSE,"中期資料営業店端末"}</definedName>
    <definedName name="法人管理">#REF!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5" l="1"/>
  <c r="B10" i="2"/>
  <c r="B11" i="2"/>
  <c r="L117" i="24"/>
  <c r="L116" i="24"/>
  <c r="L115" i="24"/>
  <c r="L114" i="24"/>
  <c r="L113" i="24"/>
  <c r="L112" i="24"/>
  <c r="L111" i="24"/>
  <c r="L104" i="24"/>
  <c r="L103" i="24"/>
  <c r="L102" i="24"/>
  <c r="L101" i="24"/>
  <c r="L100" i="24"/>
  <c r="L99" i="24"/>
  <c r="L98" i="24"/>
  <c r="L97" i="24"/>
  <c r="L96" i="24"/>
  <c r="L95" i="24"/>
  <c r="L93" i="24"/>
  <c r="L92" i="24"/>
  <c r="L91" i="24"/>
  <c r="L90" i="24"/>
  <c r="L89" i="24"/>
  <c r="L88" i="24"/>
  <c r="L87" i="24"/>
  <c r="L86" i="24"/>
  <c r="L85" i="24"/>
  <c r="L84" i="24"/>
  <c r="L83" i="24"/>
  <c r="L82" i="24"/>
  <c r="L81" i="24"/>
  <c r="L80" i="24"/>
  <c r="L79" i="24"/>
  <c r="L78" i="24"/>
  <c r="L77" i="24"/>
  <c r="L75" i="24"/>
  <c r="L73" i="24"/>
  <c r="L72" i="24"/>
  <c r="L71" i="24"/>
  <c r="L70" i="24"/>
  <c r="L69" i="24"/>
  <c r="L67" i="24"/>
  <c r="L65" i="24"/>
  <c r="L64" i="24"/>
  <c r="L63" i="24"/>
  <c r="L62" i="24"/>
  <c r="L60" i="24"/>
  <c r="L58" i="24"/>
  <c r="L56" i="24"/>
  <c r="L54" i="24"/>
  <c r="L52" i="24"/>
  <c r="L50" i="24"/>
  <c r="L48" i="24"/>
  <c r="L46" i="24"/>
  <c r="L44" i="24"/>
  <c r="L42" i="24"/>
  <c r="L41" i="24"/>
  <c r="L40" i="24"/>
  <c r="L39" i="24"/>
  <c r="L37" i="24"/>
  <c r="L36" i="24"/>
  <c r="L35" i="24"/>
  <c r="L34" i="24"/>
  <c r="L33" i="24"/>
  <c r="L32" i="24"/>
  <c r="L31" i="24"/>
  <c r="L28" i="24"/>
  <c r="L25" i="24"/>
  <c r="L24" i="24"/>
  <c r="L23" i="24"/>
  <c r="L22" i="24"/>
  <c r="L21" i="24"/>
  <c r="L20" i="24"/>
  <c r="L19" i="24"/>
  <c r="L18" i="24"/>
  <c r="L17" i="24"/>
  <c r="L16" i="24"/>
  <c r="L15" i="24"/>
  <c r="L14" i="24"/>
  <c r="L95" i="23"/>
  <c r="L117" i="23"/>
  <c r="L116" i="23"/>
  <c r="L115" i="23"/>
  <c r="L114" i="23"/>
  <c r="L113" i="23"/>
  <c r="L112" i="23"/>
  <c r="L111" i="23"/>
  <c r="L104" i="23"/>
  <c r="L103" i="23"/>
  <c r="L102" i="23"/>
  <c r="L101" i="23"/>
  <c r="L100" i="23"/>
  <c r="L99" i="23"/>
  <c r="L98" i="23"/>
  <c r="L97" i="23"/>
  <c r="L96" i="23"/>
  <c r="L93" i="23"/>
  <c r="L92" i="23"/>
  <c r="L91" i="23"/>
  <c r="L90" i="23"/>
  <c r="L89" i="23"/>
  <c r="L88" i="23"/>
  <c r="L87" i="23"/>
  <c r="L86" i="23"/>
  <c r="L85" i="23"/>
  <c r="L84" i="23"/>
  <c r="L83" i="23"/>
  <c r="L82" i="23"/>
  <c r="L81" i="23"/>
  <c r="L80" i="23"/>
  <c r="L79" i="23"/>
  <c r="L78" i="23"/>
  <c r="L77" i="23"/>
  <c r="L75" i="23"/>
  <c r="L73" i="23"/>
  <c r="L72" i="23"/>
  <c r="L71" i="23"/>
  <c r="L70" i="23"/>
  <c r="L69" i="23"/>
  <c r="L67" i="23"/>
  <c r="L65" i="23"/>
  <c r="L64" i="23"/>
  <c r="L63" i="23"/>
  <c r="L62" i="23"/>
  <c r="L60" i="23"/>
  <c r="L58" i="23"/>
  <c r="L56" i="23"/>
  <c r="L54" i="23"/>
  <c r="L52" i="23"/>
  <c r="L50" i="23"/>
  <c r="L48" i="23"/>
  <c r="L46" i="23"/>
  <c r="L44" i="23"/>
  <c r="L42" i="23"/>
  <c r="L41" i="23"/>
  <c r="L40" i="23"/>
  <c r="L39" i="23"/>
  <c r="L37" i="23"/>
  <c r="L36" i="23"/>
  <c r="L35" i="23"/>
  <c r="L34" i="23"/>
  <c r="L33" i="23"/>
  <c r="L32" i="23"/>
  <c r="L31" i="23"/>
  <c r="L28" i="23"/>
  <c r="L15" i="23"/>
  <c r="L16" i="23"/>
  <c r="L17" i="23"/>
  <c r="L18" i="23"/>
  <c r="L19" i="23"/>
  <c r="L20" i="23"/>
  <c r="L21" i="23"/>
  <c r="L22" i="23"/>
  <c r="L23" i="23"/>
  <c r="L24" i="23"/>
  <c r="L25" i="23"/>
  <c r="L14" i="23"/>
  <c r="B54" i="1" l="1"/>
  <c r="B55" i="1"/>
  <c r="B56" i="1"/>
  <c r="B42" i="1"/>
  <c r="B43" i="1"/>
  <c r="B44" i="1"/>
  <c r="B45" i="1"/>
  <c r="B46" i="1"/>
  <c r="B47" i="1"/>
  <c r="B48" i="1"/>
  <c r="B49" i="1"/>
  <c r="B50" i="1"/>
  <c r="B51" i="1"/>
  <c r="B52" i="1"/>
  <c r="B53" i="1"/>
  <c r="B14" i="2"/>
  <c r="B41" i="1"/>
  <c r="B37" i="1"/>
  <c r="B38" i="1"/>
  <c r="B39" i="1"/>
  <c r="B40" i="1"/>
  <c r="B34" i="1"/>
  <c r="B33" i="1"/>
  <c r="B32" i="1"/>
  <c r="B31" i="1"/>
  <c r="B30" i="1"/>
  <c r="B20" i="1"/>
  <c r="B6" i="2"/>
  <c r="B7" i="2"/>
  <c r="B8" i="2"/>
  <c r="B9" i="2"/>
  <c r="B19" i="2"/>
  <c r="B21" i="2"/>
  <c r="B12" i="2"/>
  <c r="B13" i="2"/>
  <c r="B15" i="2"/>
  <c r="B16" i="2"/>
  <c r="B17" i="2"/>
  <c r="B18" i="2"/>
  <c r="B20" i="2"/>
  <c r="B22" i="2"/>
  <c r="B23" i="2"/>
  <c r="B24" i="2"/>
  <c r="B25" i="2"/>
  <c r="B26" i="2"/>
  <c r="B27" i="2"/>
  <c r="B28" i="2"/>
  <c r="B29" i="2"/>
  <c r="B30" i="2"/>
  <c r="B5" i="2"/>
  <c r="B9" i="1" l="1"/>
  <c r="B10" i="1"/>
  <c r="B11" i="1"/>
  <c r="B12" i="1"/>
  <c r="B13" i="1"/>
  <c r="B7" i="1"/>
  <c r="B14" i="1"/>
  <c r="B15" i="1"/>
  <c r="B16" i="1"/>
  <c r="B17" i="1"/>
  <c r="B18" i="1"/>
  <c r="B19" i="1"/>
  <c r="B21" i="1"/>
  <c r="B22" i="1"/>
  <c r="B23" i="1"/>
  <c r="B24" i="1"/>
  <c r="B25" i="1"/>
  <c r="B26" i="1"/>
  <c r="B27" i="1"/>
  <c r="B28" i="1"/>
  <c r="B29" i="1"/>
  <c r="B35" i="1"/>
  <c r="B36" i="1"/>
  <c r="B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原口 豊</author>
  </authors>
  <commentList>
    <comment ref="G8" authorId="0" shapeId="0" xr:uid="{F4F55ED7-8840-4DDA-9306-3E474565526E}">
      <text>
        <r>
          <rPr>
            <sz val="9"/>
            <rFont val="ＭＳ Ｐゴシック"/>
            <family val="3"/>
            <charset val="128"/>
          </rPr>
          <t>DefaultがEmptyの場合は、Emptyを明記する。また、『=』は入れないでください。
文字の場合は、『''tokyo'』の様に、初めに『''』を入れてください。</t>
        </r>
      </text>
    </comment>
    <comment ref="H8" authorId="0" shapeId="0" xr:uid="{A321A1A6-9F44-49CA-B109-9711465F32A1}">
      <text>
        <r>
          <rPr>
            <b/>
            <sz val="9"/>
            <rFont val="ＭＳ Ｐゴシック"/>
            <family val="3"/>
            <charset val="128"/>
          </rPr>
          <t>オートナンバー</t>
        </r>
        <r>
          <rPr>
            <sz val="9"/>
            <rFont val="ＭＳ Ｐゴシック"/>
            <family val="3"/>
            <charset val="128"/>
          </rPr>
          <t xml:space="preserve">
</t>
        </r>
      </text>
    </comment>
  </commentList>
</comments>
</file>

<file path=xl/sharedStrings.xml><?xml version="1.0" encoding="utf-8"?>
<sst xmlns="http://schemas.openxmlformats.org/spreadsheetml/2006/main" count="8748" uniqueCount="1967">
  <si>
    <t>No</t>
  </si>
  <si>
    <t>対象シート</t>
  </si>
  <si>
    <t>変更内容</t>
  </si>
  <si>
    <t>変更日</t>
  </si>
  <si>
    <t>改版履歴</t>
    <rPh sb="0" eb="2">
      <t>カイハン</t>
    </rPh>
    <rPh sb="2" eb="4">
      <t>リレキ</t>
    </rPh>
    <phoneticPr fontId="2"/>
  </si>
  <si>
    <t>案件(課題番号・案件フォルダ名など）</t>
    <rPh sb="3" eb="5">
      <t>カダイ</t>
    </rPh>
    <rPh sb="5" eb="7">
      <t>バンゴウ</t>
    </rPh>
    <rPh sb="8" eb="10">
      <t>アンケン</t>
    </rPh>
    <rPh sb="14" eb="15">
      <t>メイ</t>
    </rPh>
    <phoneticPr fontId="2"/>
  </si>
  <si>
    <t>変更者</t>
    <phoneticPr fontId="2"/>
  </si>
  <si>
    <t>テーブル一覧</t>
  </si>
  <si>
    <t>No.</t>
  </si>
  <si>
    <t>※テーブルを新規作成した際は本ページに記入すること</t>
    <rPh sb="6" eb="8">
      <t>シンキ</t>
    </rPh>
    <rPh sb="8" eb="10">
      <t>サクセイ</t>
    </rPh>
    <rPh sb="12" eb="13">
      <t>サイ</t>
    </rPh>
    <rPh sb="14" eb="15">
      <t>ホン</t>
    </rPh>
    <rPh sb="19" eb="21">
      <t>キニュウ</t>
    </rPh>
    <phoneticPr fontId="0"/>
  </si>
  <si>
    <t>カラム数</t>
    <rPh sb="3" eb="4">
      <t>スウ</t>
    </rPh>
    <phoneticPr fontId="5"/>
  </si>
  <si>
    <t>使用</t>
    <rPh sb="0" eb="2">
      <t>シヨウ</t>
    </rPh>
    <phoneticPr fontId="2"/>
  </si>
  <si>
    <t>備考</t>
    <rPh sb="0" eb="2">
      <t>ビコウ</t>
    </rPh>
    <phoneticPr fontId="5"/>
  </si>
  <si>
    <t>varchar</t>
  </si>
  <si>
    <t>○</t>
  </si>
  <si>
    <t>概要</t>
    <rPh sb="0" eb="2">
      <t>ガイヨウ</t>
    </rPh>
    <phoneticPr fontId="2"/>
  </si>
  <si>
    <t>date_created</t>
  </si>
  <si>
    <t>datetime</t>
  </si>
  <si>
    <t>date_changed</t>
  </si>
  <si>
    <t>作成者</t>
  </si>
  <si>
    <t>creator_name</t>
  </si>
  <si>
    <t>更新者</t>
  </si>
  <si>
    <t>updater_name</t>
  </si>
  <si>
    <t>Null</t>
    <phoneticPr fontId="2"/>
  </si>
  <si>
    <t>Default</t>
    <phoneticPr fontId="2"/>
  </si>
  <si>
    <t>No.</t>
    <phoneticPr fontId="2"/>
  </si>
  <si>
    <t>PK</t>
    <phoneticPr fontId="2"/>
  </si>
  <si>
    <t>UK</t>
    <phoneticPr fontId="2"/>
  </si>
  <si>
    <t>FK</t>
    <phoneticPr fontId="2"/>
  </si>
  <si>
    <t>Cmd</t>
    <phoneticPr fontId="2"/>
  </si>
  <si>
    <t>テーブル名（日本語）</t>
    <rPh sb="4" eb="5">
      <t>メイ</t>
    </rPh>
    <rPh sb="6" eb="9">
      <t>ニホンゴ</t>
    </rPh>
    <phoneticPr fontId="5"/>
  </si>
  <si>
    <t>テーブル名（alphabet）</t>
    <rPh sb="4" eb="5">
      <t>メイ</t>
    </rPh>
    <phoneticPr fontId="5"/>
  </si>
  <si>
    <t>フィールド名（日本語）</t>
    <rPh sb="5" eb="6">
      <t>メイ</t>
    </rPh>
    <rPh sb="7" eb="10">
      <t>ニホンゴ</t>
    </rPh>
    <phoneticPr fontId="5"/>
  </si>
  <si>
    <t>フィールド名（alphabet）</t>
    <rPh sb="5" eb="6">
      <t>メイ</t>
    </rPh>
    <phoneticPr fontId="5"/>
  </si>
  <si>
    <t>型</t>
    <rPh sb="0" eb="1">
      <t>カタ</t>
    </rPh>
    <phoneticPr fontId="2"/>
  </si>
  <si>
    <t>概要説明</t>
    <rPh sb="0" eb="2">
      <t>ガイヨウ</t>
    </rPh>
    <rPh sb="2" eb="4">
      <t>セツメイ</t>
    </rPh>
    <phoneticPr fontId="2"/>
  </si>
  <si>
    <t>区分値等</t>
    <rPh sb="0" eb="2">
      <t>クブン</t>
    </rPh>
    <rPh sb="2" eb="3">
      <t>チ</t>
    </rPh>
    <rPh sb="3" eb="4">
      <t>トウ</t>
    </rPh>
    <phoneticPr fontId="2"/>
  </si>
  <si>
    <t>格納先DB名</t>
    <rPh sb="0" eb="2">
      <t>カクノウ</t>
    </rPh>
    <rPh sb="2" eb="3">
      <t>サキ</t>
    </rPh>
    <rPh sb="5" eb="6">
      <t>メイ</t>
    </rPh>
    <phoneticPr fontId="2"/>
  </si>
  <si>
    <t>テーブル定義</t>
    <rPh sb="4" eb="6">
      <t>テイギ</t>
    </rPh>
    <phoneticPr fontId="2"/>
  </si>
  <si>
    <t>ID</t>
    <phoneticPr fontId="2"/>
  </si>
  <si>
    <t>内部ID</t>
    <rPh sb="0" eb="2">
      <t>ナイブ</t>
    </rPh>
    <phoneticPr fontId="2"/>
  </si>
  <si>
    <t>店舗ID</t>
    <rPh sb="0" eb="2">
      <t>テンポ</t>
    </rPh>
    <phoneticPr fontId="2"/>
  </si>
  <si>
    <t>dept_id</t>
  </si>
  <si>
    <t>作成日時</t>
    <rPh sb="0" eb="2">
      <t>サクセイ</t>
    </rPh>
    <rPh sb="2" eb="4">
      <t>ニチジ</t>
    </rPh>
    <phoneticPr fontId="2"/>
  </si>
  <si>
    <t>更新日時</t>
    <rPh sb="0" eb="2">
      <t>コウシン</t>
    </rPh>
    <rPh sb="2" eb="4">
      <t>ニチジ</t>
    </rPh>
    <phoneticPr fontId="2"/>
  </si>
  <si>
    <t>削除フラグ</t>
  </si>
  <si>
    <t>del_flag</t>
  </si>
  <si>
    <t>varchar</t>
    <phoneticPr fontId="2"/>
  </si>
  <si>
    <t>max</t>
    <phoneticPr fontId="2"/>
  </si>
  <si>
    <t>api_name</t>
    <phoneticPr fontId="2"/>
  </si>
  <si>
    <t>処理区分</t>
    <rPh sb="0" eb="2">
      <t>ショリ</t>
    </rPh>
    <rPh sb="2" eb="4">
      <t>クブン</t>
    </rPh>
    <phoneticPr fontId="2"/>
  </si>
  <si>
    <t>process_type</t>
    <phoneticPr fontId="2"/>
  </si>
  <si>
    <t>API名</t>
    <rPh sb="3" eb="4">
      <t>メイ</t>
    </rPh>
    <phoneticPr fontId="2"/>
  </si>
  <si>
    <t>error_user_message</t>
    <phoneticPr fontId="2"/>
  </si>
  <si>
    <t>error_system_message</t>
    <phoneticPr fontId="2"/>
  </si>
  <si>
    <t>status</t>
    <phoneticPr fontId="2"/>
  </si>
  <si>
    <t>error_code</t>
    <phoneticPr fontId="2"/>
  </si>
  <si>
    <t>ステータス</t>
    <phoneticPr fontId="2"/>
  </si>
  <si>
    <t>エラーコード</t>
    <phoneticPr fontId="2"/>
  </si>
  <si>
    <t>エラーメッセージ(エンドユーザー向け)</t>
    <rPh sb="16" eb="17">
      <t>ム</t>
    </rPh>
    <phoneticPr fontId="2"/>
  </si>
  <si>
    <t>エラーメッセージ(システム向け)</t>
    <rPh sb="13" eb="14">
      <t>ム</t>
    </rPh>
    <phoneticPr fontId="2"/>
  </si>
  <si>
    <t>自動採番
※システムでは使用しない</t>
    <rPh sb="0" eb="2">
      <t>ジドウ</t>
    </rPh>
    <rPh sb="2" eb="3">
      <t>サイ</t>
    </rPh>
    <rPh sb="3" eb="4">
      <t>バン</t>
    </rPh>
    <rPh sb="12" eb="14">
      <t>シヨウ</t>
    </rPh>
    <phoneticPr fontId="2"/>
  </si>
  <si>
    <t>削除フラグ</t>
    <rPh sb="0" eb="2">
      <t>サクジョ</t>
    </rPh>
    <phoneticPr fontId="2"/>
  </si>
  <si>
    <t>(BLANK)：未削除
DEL：削除済</t>
    <rPh sb="8" eb="9">
      <t>ミ</t>
    </rPh>
    <rPh sb="9" eb="11">
      <t>サクジョ</t>
    </rPh>
    <rPh sb="16" eb="18">
      <t>サクジョ</t>
    </rPh>
    <rPh sb="18" eb="19">
      <t>スミ</t>
    </rPh>
    <phoneticPr fontId="2"/>
  </si>
  <si>
    <t>bigint</t>
  </si>
  <si>
    <t>ユーザーエージェント</t>
    <phoneticPr fontId="2"/>
  </si>
  <si>
    <t>client_ip</t>
    <phoneticPr fontId="2"/>
  </si>
  <si>
    <t>user_agent</t>
    <phoneticPr fontId="2"/>
  </si>
  <si>
    <t>site_type</t>
    <phoneticPr fontId="2"/>
  </si>
  <si>
    <t>NAL(8)Eq</t>
    <phoneticPr fontId="2"/>
  </si>
  <si>
    <t>APIアクセスログ</t>
    <phoneticPr fontId="2"/>
  </si>
  <si>
    <t>RECS側API名称（英名がなければ日本語名）</t>
    <rPh sb="4" eb="5">
      <t>ガワ</t>
    </rPh>
    <rPh sb="8" eb="10">
      <t>メイショウ</t>
    </rPh>
    <rPh sb="11" eb="13">
      <t>エイメイ</t>
    </rPh>
    <rPh sb="18" eb="21">
      <t>ニホンゴ</t>
    </rPh>
    <rPh sb="21" eb="22">
      <t>メイ</t>
    </rPh>
    <phoneticPr fontId="2"/>
  </si>
  <si>
    <t>APIごとに決められている処理区分</t>
    <rPh sb="6" eb="7">
      <t>キ</t>
    </rPh>
    <rPh sb="13" eb="15">
      <t>ショリ</t>
    </rPh>
    <rPh sb="15" eb="17">
      <t>クブン</t>
    </rPh>
    <phoneticPr fontId="2"/>
  </si>
  <si>
    <t>0：正常
1：異常</t>
    <rPh sb="2" eb="4">
      <t>セイジョウ</t>
    </rPh>
    <rPh sb="7" eb="9">
      <t>イジョウ</t>
    </rPh>
    <phoneticPr fontId="2"/>
  </si>
  <si>
    <t>文字コード</t>
    <rPh sb="0" eb="2">
      <t>モジ</t>
    </rPh>
    <phoneticPr fontId="2"/>
  </si>
  <si>
    <t>UTF-8</t>
    <phoneticPr fontId="2"/>
  </si>
  <si>
    <t>L(100)Eq</t>
    <phoneticPr fontId="2"/>
  </si>
  <si>
    <t>L(2)Eq</t>
    <phoneticPr fontId="2"/>
  </si>
  <si>
    <t>L(40)Eq</t>
    <phoneticPr fontId="2"/>
  </si>
  <si>
    <t>L(16)Eq</t>
    <phoneticPr fontId="2"/>
  </si>
  <si>
    <t>L(10)Eq</t>
    <phoneticPr fontId="2"/>
  </si>
  <si>
    <t>L(1)Eq</t>
    <phoneticPr fontId="2"/>
  </si>
  <si>
    <t>L(8)Eq</t>
    <phoneticPr fontId="2"/>
  </si>
  <si>
    <t>L(10)S[DEL]Eq</t>
    <phoneticPr fontId="2"/>
  </si>
  <si>
    <t xml:space="preserve">テーブル名(alphabet) </t>
    <rPh sb="4" eb="5">
      <t>メイ</t>
    </rPh>
    <phoneticPr fontId="2"/>
  </si>
  <si>
    <t>テーブル概要</t>
    <rPh sb="4" eb="6">
      <t>ガイヨウ</t>
    </rPh>
    <phoneticPr fontId="2"/>
  </si>
  <si>
    <t>NG</t>
    <phoneticPr fontId="2"/>
  </si>
  <si>
    <t>API履歴</t>
    <rPh sb="3" eb="5">
      <t>リレキ</t>
    </rPh>
    <phoneticPr fontId="2"/>
  </si>
  <si>
    <t>アンケートマスタ</t>
    <phoneticPr fontId="2"/>
  </si>
  <si>
    <t>uc_api_access_log</t>
  </si>
  <si>
    <t>オペレーションログ</t>
  </si>
  <si>
    <t>オペレーションログ(管理）</t>
    <rPh sb="10" eb="12">
      <t>カンリ</t>
    </rPh>
    <phoneticPr fontId="2"/>
  </si>
  <si>
    <t>sofmap_history</t>
  </si>
  <si>
    <t>sofmap_history</t>
    <phoneticPr fontId="2"/>
  </si>
  <si>
    <t>sofmap_crm1</t>
    <phoneticPr fontId="2"/>
  </si>
  <si>
    <t>コンテンツマスタ履歴</t>
    <rPh sb="8" eb="10">
      <t>リレキ</t>
    </rPh>
    <phoneticPr fontId="2"/>
  </si>
  <si>
    <t>DGFTのアクセスログ</t>
    <phoneticPr fontId="2"/>
  </si>
  <si>
    <t>uc_veritrans_shopping</t>
    <phoneticPr fontId="2"/>
  </si>
  <si>
    <t>uc_amazonpay_shopping</t>
  </si>
  <si>
    <t>AmazonPayアクセスログ</t>
    <phoneticPr fontId="2"/>
  </si>
  <si>
    <t>リキャプチャ履歴</t>
    <rPh sb="6" eb="8">
      <t>リレキ</t>
    </rPh>
    <phoneticPr fontId="2"/>
  </si>
  <si>
    <t>uc_recaptcha_history</t>
  </si>
  <si>
    <t>ログインセッション</t>
  </si>
  <si>
    <t>ログインセッション</t>
    <phoneticPr fontId="2"/>
  </si>
  <si>
    <t>uc_dat_login_session</t>
  </si>
  <si>
    <t>uc_dat_login_session</t>
    <phoneticPr fontId="2"/>
  </si>
  <si>
    <t>sofmap_crm1</t>
  </si>
  <si>
    <t>パターン</t>
    <phoneticPr fontId="5"/>
  </si>
  <si>
    <t>区分値による持ち方の説明を記載する場合はこれ以降に</t>
    <rPh sb="0" eb="2">
      <t>クブン</t>
    </rPh>
    <rPh sb="2" eb="3">
      <t>チ</t>
    </rPh>
    <rPh sb="6" eb="7">
      <t>モ</t>
    </rPh>
    <rPh sb="8" eb="9">
      <t>カタ</t>
    </rPh>
    <rPh sb="10" eb="12">
      <t>セツメイ</t>
    </rPh>
    <rPh sb="13" eb="15">
      <t>キサイ</t>
    </rPh>
    <rPh sb="17" eb="19">
      <t>バアイ</t>
    </rPh>
    <rPh sb="22" eb="24">
      <t>イコウ</t>
    </rPh>
    <phoneticPr fontId="2"/>
  </si>
  <si>
    <t>区分値による持ち方の説明を記載する場合はこれ以降に記載</t>
    <rPh sb="0" eb="2">
      <t>クブン</t>
    </rPh>
    <rPh sb="2" eb="3">
      <t>チ</t>
    </rPh>
    <rPh sb="6" eb="7">
      <t>モ</t>
    </rPh>
    <rPh sb="8" eb="9">
      <t>カタ</t>
    </rPh>
    <rPh sb="10" eb="12">
      <t>セツメイ</t>
    </rPh>
    <rPh sb="13" eb="15">
      <t>キサイ</t>
    </rPh>
    <rPh sb="17" eb="19">
      <t>バアイ</t>
    </rPh>
    <rPh sb="22" eb="24">
      <t>イコウ</t>
    </rPh>
    <rPh sb="25" eb="27">
      <t>キサイ</t>
    </rPh>
    <phoneticPr fontId="2"/>
  </si>
  <si>
    <t>uc_contents_manager</t>
  </si>
  <si>
    <t>uc_contents_manager</t>
    <phoneticPr fontId="2"/>
  </si>
  <si>
    <t>uc_contents_manager_history</t>
    <phoneticPr fontId="2"/>
  </si>
  <si>
    <t>uc_product_group_attribute</t>
  </si>
  <si>
    <t>uc_product_group_attribute</t>
    <phoneticPr fontId="2"/>
  </si>
  <si>
    <t>uc_questionnaire_master</t>
  </si>
  <si>
    <t>uc_questionnaire_master_history</t>
    <phoneticPr fontId="2"/>
  </si>
  <si>
    <t>トピックス、HTML部品、CMS部品等のマスタテーブル</t>
    <rPh sb="10" eb="12">
      <t>ブヒン</t>
    </rPh>
    <rPh sb="16" eb="18">
      <t>ブヒン</t>
    </rPh>
    <rPh sb="18" eb="19">
      <t>トウ</t>
    </rPh>
    <phoneticPr fontId="2"/>
  </si>
  <si>
    <t>コンテンツマスタの編集履歴テーブル</t>
    <rPh sb="9" eb="11">
      <t>ヘンシュウ</t>
    </rPh>
    <rPh sb="11" eb="13">
      <t>リレキ</t>
    </rPh>
    <phoneticPr fontId="2"/>
  </si>
  <si>
    <t>商品グループ属性マスタ</t>
  </si>
  <si>
    <t>約款、商品説明HTML、関連商品CMS等のマスタテーブル</t>
    <rPh sb="0" eb="2">
      <t>ヤッカン</t>
    </rPh>
    <rPh sb="3" eb="5">
      <t>ショウヒン</t>
    </rPh>
    <rPh sb="5" eb="7">
      <t>セツメイ</t>
    </rPh>
    <rPh sb="12" eb="14">
      <t>カンレン</t>
    </rPh>
    <rPh sb="14" eb="16">
      <t>ショウヒン</t>
    </rPh>
    <rPh sb="19" eb="20">
      <t>ナド</t>
    </rPh>
    <phoneticPr fontId="2"/>
  </si>
  <si>
    <t>汎用アンケート設問用マスタ</t>
    <rPh sb="0" eb="2">
      <t>ハンヨウ</t>
    </rPh>
    <rPh sb="7" eb="9">
      <t>セツモン</t>
    </rPh>
    <rPh sb="9" eb="10">
      <t>ヨウ</t>
    </rPh>
    <phoneticPr fontId="2"/>
  </si>
  <si>
    <t>アンケート設問の編集履歴テーブル</t>
    <rPh sb="5" eb="7">
      <t>セツモン</t>
    </rPh>
    <rPh sb="8" eb="10">
      <t>ヘンシュウ</t>
    </rPh>
    <rPh sb="10" eb="12">
      <t>リレキ</t>
    </rPh>
    <phoneticPr fontId="2"/>
  </si>
  <si>
    <t>uc_general</t>
  </si>
  <si>
    <t>汎用マスタ</t>
  </si>
  <si>
    <t>汎用マスタ</t>
    <rPh sb="0" eb="2">
      <t>ハンヨウ</t>
    </rPh>
    <phoneticPr fontId="2"/>
  </si>
  <si>
    <t>フロントサイトやバッチ処理のエラーログ</t>
    <rPh sb="11" eb="13">
      <t>ショリ</t>
    </rPh>
    <phoneticPr fontId="2"/>
  </si>
  <si>
    <t>管理サイトの閲覧履歴</t>
    <rPh sb="0" eb="2">
      <t>カンリ</t>
    </rPh>
    <rPh sb="6" eb="8">
      <t>エツラン</t>
    </rPh>
    <rPh sb="8" eb="10">
      <t>リレキ</t>
    </rPh>
    <phoneticPr fontId="2"/>
  </si>
  <si>
    <t>AmazonPayAPI利用履歴</t>
    <rPh sb="12" eb="14">
      <t>リヨウ</t>
    </rPh>
    <rPh sb="14" eb="16">
      <t>リレキ</t>
    </rPh>
    <phoneticPr fontId="2"/>
  </si>
  <si>
    <t>リキャプチャ処理履歴</t>
    <rPh sb="6" eb="8">
      <t>ショリ</t>
    </rPh>
    <rPh sb="8" eb="10">
      <t>リレキ</t>
    </rPh>
    <phoneticPr fontId="2"/>
  </si>
  <si>
    <r>
      <t xml:space="preserve">作成日
</t>
    </r>
    <r>
      <rPr>
        <b/>
        <sz val="6"/>
        <color theme="0"/>
        <rFont val="Meiryo UI"/>
        <family val="3"/>
        <charset val="128"/>
      </rPr>
      <t>DBに作成した日</t>
    </r>
    <rPh sb="0" eb="2">
      <t>サクセイ</t>
    </rPh>
    <rPh sb="2" eb="3">
      <t>ビ</t>
    </rPh>
    <rPh sb="7" eb="9">
      <t>サクセイ</t>
    </rPh>
    <rPh sb="11" eb="12">
      <t>ヒ</t>
    </rPh>
    <phoneticPr fontId="2"/>
  </si>
  <si>
    <r>
      <t xml:space="preserve">更新日
</t>
    </r>
    <r>
      <rPr>
        <b/>
        <sz val="6"/>
        <color theme="0"/>
        <rFont val="Meiryo UI"/>
        <family val="3"/>
        <charset val="128"/>
      </rPr>
      <t>スキーマ変更日</t>
    </r>
    <rPh sb="0" eb="3">
      <t>コウシンビ</t>
    </rPh>
    <rPh sb="8" eb="10">
      <t>ヘンコウ</t>
    </rPh>
    <rPh sb="10" eb="11">
      <t>ビ</t>
    </rPh>
    <phoneticPr fontId="2"/>
  </si>
  <si>
    <r>
      <t xml:space="preserve">削除日
</t>
    </r>
    <r>
      <rPr>
        <b/>
        <sz val="6"/>
        <color theme="0"/>
        <rFont val="Meiryo UI"/>
        <family val="3"/>
        <charset val="128"/>
      </rPr>
      <t>不要になった日</t>
    </r>
    <rPh sb="0" eb="2">
      <t>サクジョ</t>
    </rPh>
    <rPh sb="2" eb="3">
      <t>ビ</t>
    </rPh>
    <rPh sb="4" eb="6">
      <t>フヨウ</t>
    </rPh>
    <rPh sb="10" eb="11">
      <t>ヒ</t>
    </rPh>
    <phoneticPr fontId="2"/>
  </si>
  <si>
    <r>
      <t xml:space="preserve">利用状況
</t>
    </r>
    <r>
      <rPr>
        <b/>
        <sz val="6"/>
        <color theme="0"/>
        <rFont val="Meiryo UI"/>
        <family val="3"/>
        <charset val="128"/>
      </rPr>
      <t>未使用・削除済など</t>
    </r>
    <rPh sb="0" eb="4">
      <t>リヨウジョウキョウ</t>
    </rPh>
    <rPh sb="5" eb="8">
      <t>ミシヨウ</t>
    </rPh>
    <rPh sb="9" eb="11">
      <t>サクジョ</t>
    </rPh>
    <rPh sb="11" eb="12">
      <t>ズ</t>
    </rPh>
    <phoneticPr fontId="0"/>
  </si>
  <si>
    <t>getdate()</t>
  </si>
  <si>
    <t>getdate()</t>
    <phoneticPr fontId="2"/>
  </si>
  <si>
    <t>-</t>
    <phoneticPr fontId="2"/>
  </si>
  <si>
    <r>
      <t xml:space="preserve">インデックス
</t>
    </r>
    <r>
      <rPr>
        <b/>
        <sz val="6"/>
        <color theme="0"/>
        <rFont val="Meiryo UI"/>
        <family val="3"/>
        <charset val="128"/>
      </rPr>
      <t>主キー以外有無</t>
    </r>
    <rPh sb="7" eb="8">
      <t>シュ</t>
    </rPh>
    <rPh sb="10" eb="12">
      <t>イガイ</t>
    </rPh>
    <rPh sb="12" eb="14">
      <t>ウム</t>
    </rPh>
    <phoneticPr fontId="2"/>
  </si>
  <si>
    <r>
      <rPr>
        <b/>
        <sz val="9"/>
        <color theme="0"/>
        <rFont val="Meiryo UI"/>
        <family val="3"/>
        <charset val="128"/>
      </rPr>
      <t>トリガー</t>
    </r>
    <r>
      <rPr>
        <b/>
        <sz val="8"/>
        <color theme="0"/>
        <rFont val="Meiryo UI"/>
        <family val="3"/>
        <charset val="128"/>
      </rPr>
      <t xml:space="preserve">
</t>
    </r>
    <r>
      <rPr>
        <b/>
        <sz val="6"/>
        <color theme="0"/>
        <rFont val="Meiryo UI"/>
        <family val="3"/>
        <charset val="128"/>
      </rPr>
      <t>有無</t>
    </r>
    <rPh sb="5" eb="7">
      <t>ウム</t>
    </rPh>
    <phoneticPr fontId="2"/>
  </si>
  <si>
    <t>無</t>
    <rPh sb="0" eb="1">
      <t>ナ</t>
    </rPh>
    <phoneticPr fontId="2"/>
  </si>
  <si>
    <t>インデックス一覧</t>
    <phoneticPr fontId="2"/>
  </si>
  <si>
    <t>インデックス名</t>
    <rPh sb="6" eb="7">
      <t>メイ</t>
    </rPh>
    <phoneticPr fontId="2"/>
  </si>
  <si>
    <t>インデックスの種類</t>
    <rPh sb="7" eb="9">
      <t>シュルイ</t>
    </rPh>
    <phoneticPr fontId="2"/>
  </si>
  <si>
    <t>PAD_INDEX</t>
  </si>
  <si>
    <t>STATISTICS_NORECOMPUTE</t>
    <phoneticPr fontId="2"/>
  </si>
  <si>
    <t>SORT_IN_TEMPDB</t>
    <phoneticPr fontId="2"/>
  </si>
  <si>
    <t>IGNORE_DUP_KEY</t>
  </si>
  <si>
    <t>DROP_EXISTING</t>
    <phoneticPr fontId="2"/>
  </si>
  <si>
    <t>ONLINE</t>
    <phoneticPr fontId="2"/>
  </si>
  <si>
    <t>ALLOW_ROW_LOCKS</t>
  </si>
  <si>
    <t>ALLOW_PAGE_LOCKS</t>
    <phoneticPr fontId="2"/>
  </si>
  <si>
    <t>FILLFACTOR</t>
    <phoneticPr fontId="2"/>
  </si>
  <si>
    <t>ファイルグループ</t>
    <phoneticPr fontId="2"/>
  </si>
  <si>
    <t>フィールド名</t>
    <rPh sb="5" eb="6">
      <t>メイ</t>
    </rPh>
    <phoneticPr fontId="2"/>
  </si>
  <si>
    <t>ソート順</t>
    <rPh sb="3" eb="4">
      <t>ジュン</t>
    </rPh>
    <phoneticPr fontId="2"/>
  </si>
  <si>
    <t>備考</t>
    <rPh sb="0" eb="2">
      <t>ビコウ</t>
    </rPh>
    <phoneticPr fontId="2"/>
  </si>
  <si>
    <t>クラスター化インデックス</t>
    <rPh sb="5" eb="6">
      <t>カ</t>
    </rPh>
    <phoneticPr fontId="2"/>
  </si>
  <si>
    <t>OFF</t>
    <phoneticPr fontId="2"/>
  </si>
  <si>
    <t>-</t>
  </si>
  <si>
    <t>ON</t>
    <phoneticPr fontId="2"/>
  </si>
  <si>
    <t>DataMain</t>
  </si>
  <si>
    <t>昇順</t>
    <rPh sb="0" eb="2">
      <t>ショウジュン</t>
    </rPh>
    <phoneticPr fontId="2"/>
  </si>
  <si>
    <t>OFF</t>
  </si>
  <si>
    <t>ON</t>
  </si>
  <si>
    <t>DataMain</t>
    <phoneticPr fontId="2"/>
  </si>
  <si>
    <t>id</t>
    <phoneticPr fontId="2"/>
  </si>
  <si>
    <t>非クラスター化インデックス</t>
    <rPh sb="0" eb="1">
      <t>ヒ</t>
    </rPh>
    <rPh sb="6" eb="7">
      <t>カ</t>
    </rPh>
    <phoneticPr fontId="2"/>
  </si>
  <si>
    <t>Index</t>
    <phoneticPr fontId="2"/>
  </si>
  <si>
    <t>DataSub</t>
    <phoneticPr fontId="2"/>
  </si>
  <si>
    <t>history_id</t>
  </si>
  <si>
    <t>トリガー一覧</t>
    <rPh sb="4" eb="6">
      <t>イチラン</t>
    </rPh>
    <phoneticPr fontId="2"/>
  </si>
  <si>
    <r>
      <t xml:space="preserve">有効状態
</t>
    </r>
    <r>
      <rPr>
        <b/>
        <sz val="6"/>
        <color theme="0"/>
        <rFont val="Meiryo UI"/>
        <family val="3"/>
        <charset val="128"/>
      </rPr>
      <t>有効/無効</t>
    </r>
    <rPh sb="0" eb="2">
      <t>ユウコウ</t>
    </rPh>
    <rPh sb="2" eb="4">
      <t>ジョウタイ</t>
    </rPh>
    <rPh sb="5" eb="7">
      <t>ユウコウ</t>
    </rPh>
    <rPh sb="8" eb="10">
      <t>ムコウ</t>
    </rPh>
    <phoneticPr fontId="2"/>
  </si>
  <si>
    <t>トリガー処理の内容</t>
    <rPh sb="4" eb="6">
      <t>ショリ</t>
    </rPh>
    <rPh sb="7" eb="9">
      <t>ナイヨウ</t>
    </rPh>
    <phoneticPr fontId="2"/>
  </si>
  <si>
    <t>コンテンツ管理マスタ</t>
    <phoneticPr fontId="2"/>
  </si>
  <si>
    <t>トピックス、HTML部品、CMS部品等のマスタテーブル</t>
    <phoneticPr fontId="2"/>
  </si>
  <si>
    <t>ユニークID</t>
  </si>
  <si>
    <t>unique_id</t>
  </si>
  <si>
    <t>NL(40)Eq</t>
  </si>
  <si>
    <t>店舗ID</t>
  </si>
  <si>
    <t>NL(8)Eq</t>
  </si>
  <si>
    <t>管理店舗ID</t>
  </si>
  <si>
    <t>dept_id_m</t>
  </si>
  <si>
    <t>L(8)Eq</t>
  </si>
  <si>
    <t>コンテンツID</t>
  </si>
  <si>
    <t>contents_id</t>
  </si>
  <si>
    <t>コンテンツサブID</t>
  </si>
  <si>
    <t>sub_contents_id</t>
  </si>
  <si>
    <t>処理区分</t>
  </si>
  <si>
    <t>process_type</t>
  </si>
  <si>
    <t>コンテンツタイプ</t>
  </si>
  <si>
    <t>contents_type</t>
  </si>
  <si>
    <t>コンテンツタイトル</t>
  </si>
  <si>
    <t>contents_title</t>
  </si>
  <si>
    <t>nvarchar</t>
  </si>
  <si>
    <t>L(255)Eq</t>
  </si>
  <si>
    <t>コンテンツ概要</t>
  </si>
  <si>
    <t>contents_exp</t>
  </si>
  <si>
    <t>表示用コンテンツタイトル（What'sNew）</t>
  </si>
  <si>
    <t>disp_contents_title_wn</t>
  </si>
  <si>
    <t>表示用コンテンツタイトル
（RSS）</t>
  </si>
  <si>
    <t>disp_contents_title_rss</t>
  </si>
  <si>
    <t>コンテンツ本文</t>
  </si>
  <si>
    <t>contents_body</t>
  </si>
  <si>
    <t>text</t>
  </si>
  <si>
    <t>Eq</t>
  </si>
  <si>
    <t>コンテンツ本文(SCRIPT)</t>
  </si>
  <si>
    <t>contents_body_script</t>
  </si>
  <si>
    <t>コンテンツ表示条件</t>
  </si>
  <si>
    <t>contents_condition</t>
  </si>
  <si>
    <t>スケジュールID</t>
  </si>
  <si>
    <t>schedule_id</t>
  </si>
  <si>
    <t>L(40)Eq</t>
  </si>
  <si>
    <t>キャンペーンID</t>
  </si>
  <si>
    <t>campaign_id</t>
  </si>
  <si>
    <t>カテゴリ</t>
  </si>
  <si>
    <t>category</t>
  </si>
  <si>
    <t>サブカテゴリ</t>
  </si>
  <si>
    <t>sub_category</t>
  </si>
  <si>
    <t>出力ディレクトリ（HTML）</t>
  </si>
  <si>
    <t>output_directory</t>
  </si>
  <si>
    <t>出力ファイル名（HTML）</t>
  </si>
  <si>
    <t>output_file_name</t>
  </si>
  <si>
    <t>バックナンバー用カテゴリ１</t>
  </si>
  <si>
    <t>backnumber_category_1</t>
  </si>
  <si>
    <t>バックナンバー用カテゴリ２</t>
  </si>
  <si>
    <t>backnumber_category_2</t>
  </si>
  <si>
    <t>バックナンバー用カテゴリ３</t>
  </si>
  <si>
    <t>backnumber_category_3</t>
  </si>
  <si>
    <t>優先度</t>
  </si>
  <si>
    <t>priority</t>
  </si>
  <si>
    <t>int</t>
  </si>
  <si>
    <t>0Eq</t>
  </si>
  <si>
    <t>最優先フラグ</t>
  </si>
  <si>
    <t>top_priority_flag</t>
  </si>
  <si>
    <t>L(10)Eq</t>
  </si>
  <si>
    <t>キャッシュの有効期限の設定</t>
  </si>
  <si>
    <t>cache_expire_limit</t>
  </si>
  <si>
    <t>XEq</t>
  </si>
  <si>
    <t>スクリプト変換の有効期限の設定</t>
  </si>
  <si>
    <t>cache_expire_limit_script</t>
  </si>
  <si>
    <t>スクリプト変換の絶対有効期限</t>
  </si>
  <si>
    <t>cache_expire_date_script</t>
  </si>
  <si>
    <t>dEq</t>
  </si>
  <si>
    <t>有効期限（FROM）</t>
  </si>
  <si>
    <t>active_term_from</t>
  </si>
  <si>
    <t>NdEq</t>
  </si>
  <si>
    <t>有効期限（TO)</t>
  </si>
  <si>
    <t>active_term_to</t>
  </si>
  <si>
    <t>取得HTMLパス</t>
  </si>
  <si>
    <t>get_url_path</t>
  </si>
  <si>
    <t>取得コンテンツタグ</t>
  </si>
  <si>
    <t>get_url_tag</t>
  </si>
  <si>
    <t>プロパティ１</t>
  </si>
  <si>
    <t>property1</t>
  </si>
  <si>
    <t>L(100)Eq</t>
  </si>
  <si>
    <t>プロパティ２</t>
  </si>
  <si>
    <t>property2</t>
  </si>
  <si>
    <t>プロパティ３</t>
  </si>
  <si>
    <t>property3</t>
  </si>
  <si>
    <t>プロパティ４</t>
  </si>
  <si>
    <t>property4</t>
  </si>
  <si>
    <t>プロパティ５</t>
  </si>
  <si>
    <t>property5</t>
  </si>
  <si>
    <t>ステータス１</t>
  </si>
  <si>
    <t>status1</t>
  </si>
  <si>
    <t>ステータス２</t>
  </si>
  <si>
    <t>status2</t>
  </si>
  <si>
    <t>ステータス３</t>
  </si>
  <si>
    <t>status3</t>
  </si>
  <si>
    <t>グループ１</t>
  </si>
  <si>
    <t>group1</t>
  </si>
  <si>
    <t>グループ２</t>
  </si>
  <si>
    <t>group2</t>
  </si>
  <si>
    <t>グループ３</t>
  </si>
  <si>
    <t>group3</t>
  </si>
  <si>
    <t>ジャンル１</t>
  </si>
  <si>
    <t>genre1</t>
  </si>
  <si>
    <t>ジャンル２</t>
  </si>
  <si>
    <t>genre2</t>
  </si>
  <si>
    <t>ジャンル３</t>
  </si>
  <si>
    <t>genre3</t>
  </si>
  <si>
    <t>カテゴリ１</t>
  </si>
  <si>
    <t>category1</t>
  </si>
  <si>
    <t>カテゴリ２</t>
  </si>
  <si>
    <t>category2</t>
  </si>
  <si>
    <t>カテゴリ３</t>
  </si>
  <si>
    <t>category3</t>
  </si>
  <si>
    <t>作成日</t>
  </si>
  <si>
    <t>更新日</t>
  </si>
  <si>
    <t>L(20)Eq</t>
  </si>
  <si>
    <t>L(10)S[DEL]Eq</t>
  </si>
  <si>
    <t>関連ファイルパス１</t>
  </si>
  <si>
    <t>relation_file_path_1</t>
  </si>
  <si>
    <t>関連ファイルパス２</t>
  </si>
  <si>
    <t>relation_file_path_2</t>
  </si>
  <si>
    <t>関連ファイルパス３</t>
  </si>
  <si>
    <t>relation_file_path_3</t>
  </si>
  <si>
    <t>フロント更新ステータス</t>
  </si>
  <si>
    <t>changed_status_1</t>
  </si>
  <si>
    <t>フロント更新種類</t>
  </si>
  <si>
    <t>changed_code_1</t>
  </si>
  <si>
    <t>フロント更新日付</t>
  </si>
  <si>
    <t>changed_date_1</t>
  </si>
  <si>
    <t>フロント更新コメント</t>
  </si>
  <si>
    <t>changed_comment_1</t>
  </si>
  <si>
    <t>管理更新ステータス</t>
  </si>
  <si>
    <t>changed_status_2</t>
  </si>
  <si>
    <t>管理更新種類</t>
  </si>
  <si>
    <t>changed_code_2</t>
  </si>
  <si>
    <t>管理更新日付</t>
  </si>
  <si>
    <t>changed_date_2</t>
  </si>
  <si>
    <t>管理更新コメント</t>
  </si>
  <si>
    <t>changed_comment_2</t>
  </si>
  <si>
    <t>コンテンツNo</t>
  </si>
  <si>
    <t>contents_no</t>
  </si>
  <si>
    <t>L(50)Eq</t>
  </si>
  <si>
    <t>コンテンツグループNo</t>
  </si>
  <si>
    <t>contents_group_no</t>
  </si>
  <si>
    <t>表示用コンテンツタイトル２（What'sNew）</t>
  </si>
  <si>
    <t>disp_contents_title_wn_2</t>
  </si>
  <si>
    <t>表示用コンテンツタイトル２
（RSS）</t>
  </si>
  <si>
    <t>disp_contents_title_rss_2</t>
  </si>
  <si>
    <t>コンテンツ本文２</t>
  </si>
  <si>
    <t>contents_body_2</t>
  </si>
  <si>
    <t>コンテンツ本文(SCRIPT)２</t>
  </si>
  <si>
    <t>contents_body_script_2</t>
  </si>
  <si>
    <t>使用テンプレートID</t>
  </si>
  <si>
    <t>cms_template_id</t>
  </si>
  <si>
    <t>使用テンプレートデータ</t>
  </si>
  <si>
    <t>cms_template_data</t>
  </si>
  <si>
    <t>プロパティTEXT１</t>
  </si>
  <si>
    <t>property_text1</t>
  </si>
  <si>
    <t>プロパティTEXT２</t>
  </si>
  <si>
    <t>property_text2</t>
  </si>
  <si>
    <t>プロパティTEXT３</t>
  </si>
  <si>
    <t>property_text3</t>
  </si>
  <si>
    <t>プロパティTEXT４</t>
  </si>
  <si>
    <t>property_text4</t>
  </si>
  <si>
    <t>アクセス権限</t>
  </si>
  <si>
    <t>access_authority_xml</t>
  </si>
  <si>
    <t>コンテンツタイトル末尾</t>
    <rPh sb="9" eb="11">
      <t>マツビ</t>
    </rPh>
    <phoneticPr fontId="0"/>
  </si>
  <si>
    <t>last_contents_title</t>
  </si>
  <si>
    <t>ヘッダー追加情報</t>
    <rPh sb="4" eb="6">
      <t>ツイカ</t>
    </rPh>
    <rPh sb="6" eb="8">
      <t>ジョウホウ</t>
    </rPh>
    <phoneticPr fontId="0"/>
  </si>
  <si>
    <t>header_tags</t>
  </si>
  <si>
    <t>－</t>
  </si>
  <si>
    <t>NO_CACHE
・・・スクリプト変換キャッシュOFF</t>
  </si>
  <si>
    <t>コンテンツ本文（動的タグ変換後）
スクリプト変換キャッシュとして使用</t>
  </si>
  <si>
    <t>コンテンツ本文(動的タグ定義)</t>
  </si>
  <si>
    <t>指定時間後に設定される。（24時間後なら24）。空文字なら無期限</t>
  </si>
  <si>
    <t>cache_expire_limit_scriptで計算された実際の時刻を格納</t>
  </si>
  <si>
    <t>アダルト属性</t>
  </si>
  <si>
    <t>ジャンル</t>
  </si>
  <si>
    <t>ＳＫＵ</t>
  </si>
  <si>
    <t>フロー</t>
  </si>
  <si>
    <t>管理更新者</t>
  </si>
  <si>
    <t>管理更新日</t>
  </si>
  <si>
    <t>ユニークＩＤ</t>
    <phoneticPr fontId="2"/>
  </si>
  <si>
    <t>トピックス</t>
  </si>
  <si>
    <t>CMS部品</t>
  </si>
  <si>
    <t>GUID</t>
  </si>
  <si>
    <t>「s0000000」固定</t>
  </si>
  <si>
    <t>「NO_CACHE」⇒ユーザー生成
「BATCH」⇒パブリッシュ生成</t>
  </si>
  <si>
    <t>HTML_PARTS</t>
  </si>
  <si>
    <t>TOPICS</t>
  </si>
  <si>
    <t>CMS_PARTS</t>
  </si>
  <si>
    <t>管理用</t>
  </si>
  <si>
    <t>コンテンツ
※内部的に設定</t>
  </si>
  <si>
    <t>コンテンツ</t>
  </si>
  <si>
    <t>内容はＸＭＬ。（ＷＥＢキャッシュ）
Ｉ／Ｆはプルダウンで数種類のテンプレートから選択
５分
１５分
３０分
1時間
２４時間</t>
  </si>
  <si>
    <t xml:space="preserve">内容はＸＭＬ。（ＷＥＢキャッシュ）
Ｉ／Ｆはプルダウンで数種類のテンプレートから選択
５分
１５分
３０分
</t>
  </si>
  <si>
    <t>内容はＸＭＬ。（ノーキャッシュ固定）
※CMS部品単体でフロントキャッシュされることはないので、使用されない</t>
  </si>
  <si>
    <t>固定値をセット（０）</t>
  </si>
  <si>
    <t>(Empty)：通常・アダルト両ページで表示される
NOT_ADULT：非アダルトページのみで表示される
ADULT：アダルトページのみで表示される</t>
  </si>
  <si>
    <t xml:space="preserve">(Empty)：通常
ADULT：アダルト承認制御有り
</t>
  </si>
  <si>
    <t>表示するジャンル</t>
  </si>
  <si>
    <t>バナー画像ファイル名（パス）</t>
  </si>
  <si>
    <t>表示するＳＫＵ</t>
  </si>
  <si>
    <t>トピックス検索対象フラグ
(Empty)：対象外
ACTIVE：検索対象</t>
  </si>
  <si>
    <t>トピックス検索キーワード</t>
  </si>
  <si>
    <t>(Empty)：非会員
EC：EC会員専用
CLUB_S_NC：CLUB-Sノンクレジット会員専用
CLUB_S_C：CLUB-Sクレジット会員専用</t>
  </si>
  <si>
    <t>パブリッシュ対象区分
(Empty)：パブリッシュ対象外
ON：パブリッシュ対象</t>
  </si>
  <si>
    <t>バッチ処理優先度</t>
  </si>
  <si>
    <t>(Empty)：HTML部品
KAITORI_CAMPAIGN：買取キャンペーン
GENRE_RECOMMEND：ジャンルレコメンド</t>
  </si>
  <si>
    <t>買取キャンペーン：紐付ジャンル
ジャンルレコメンド：紐付ジャンル</t>
  </si>
  <si>
    <t>ジャンルレコメンド：レコメンドSKU</t>
  </si>
  <si>
    <t>フルテキスト検索フィールド
contents_title + property5
をシステムでセット</t>
  </si>
  <si>
    <t>METAタグ（keywords）</t>
  </si>
  <si>
    <t>METAタグ（description）</t>
  </si>
  <si>
    <t>コンテンツ内のバージョン</t>
  </si>
  <si>
    <t xml:space="preserve">スクリプト変換キャッシュOFFのため
</t>
  </si>
  <si>
    <t>出力先パスをセット</t>
  </si>
  <si>
    <t>出力先ファイル名をセット</t>
  </si>
  <si>
    <t>CACHE
BATCH 
等</t>
    <phoneticPr fontId="2"/>
  </si>
  <si>
    <t>※トピックスの時
(Empty)：トピックス一覧に表示されない
（分類）：トピックス一覧での表示分類
※ＨＴＭＬ部品の時
(Empty)：汎用
SHOPPING：ショッピングサイトで使用
KAITORI：買取で使用</t>
    <phoneticPr fontId="2"/>
  </si>
  <si>
    <t>指定時間後に設定される。（24時間後なら24）。
空文字なら無期限</t>
    <phoneticPr fontId="2"/>
  </si>
  <si>
    <t xml:space="preserve">スクリプト変換キャッシュOFFのため
&lt;cache_expire_limit_script&gt;
{cache_expire_limit_script.text}
&lt;/cache_expire_limit_script&gt;
</t>
    <phoneticPr fontId="2"/>
  </si>
  <si>
    <t>PK_uc_contents_manager_temp</t>
    <phoneticPr fontId="2"/>
  </si>
  <si>
    <t>IX_UniqueID</t>
    <phoneticPr fontId="2"/>
  </si>
  <si>
    <t>Index</t>
  </si>
  <si>
    <t>contents_id</t>
    <phoneticPr fontId="2"/>
  </si>
  <si>
    <t>PK_uc_contents_manager_history</t>
  </si>
  <si>
    <t>IX_uc_contents_id</t>
    <phoneticPr fontId="2"/>
  </si>
  <si>
    <t>コンテンツ管理履歴</t>
    <rPh sb="7" eb="9">
      <t>リレキ</t>
    </rPh>
    <phoneticPr fontId="2"/>
  </si>
  <si>
    <t>履歴ID</t>
  </si>
  <si>
    <t>manage_edit_comment</t>
  </si>
  <si>
    <t>manage_edit_type</t>
  </si>
  <si>
    <t>approval_status</t>
  </si>
  <si>
    <t>approval_type</t>
  </si>
  <si>
    <t>approval_id</t>
  </si>
  <si>
    <t>approval_date</t>
  </si>
  <si>
    <t>approval_hope_date</t>
  </si>
  <si>
    <t>管理編集コメント</t>
    <rPh sb="0" eb="2">
      <t>カンリ</t>
    </rPh>
    <rPh sb="2" eb="4">
      <t>ヘンシュウ</t>
    </rPh>
    <phoneticPr fontId="2"/>
  </si>
  <si>
    <t>管理編集区分</t>
    <rPh sb="0" eb="2">
      <t>カンリ</t>
    </rPh>
    <rPh sb="2" eb="4">
      <t>ヘンシュウ</t>
    </rPh>
    <rPh sb="4" eb="6">
      <t>クブン</t>
    </rPh>
    <phoneticPr fontId="2"/>
  </si>
  <si>
    <t>承認ステータス</t>
    <rPh sb="0" eb="2">
      <t>ショウニン</t>
    </rPh>
    <phoneticPr fontId="2"/>
  </si>
  <si>
    <t>承認区分</t>
    <rPh sb="0" eb="2">
      <t>ショウニン</t>
    </rPh>
    <rPh sb="2" eb="4">
      <t>クブン</t>
    </rPh>
    <phoneticPr fontId="2"/>
  </si>
  <si>
    <t>承認ID</t>
    <rPh sb="0" eb="2">
      <t>ショウニン</t>
    </rPh>
    <phoneticPr fontId="2"/>
  </si>
  <si>
    <t>商品日</t>
    <rPh sb="0" eb="2">
      <t>ショウヒン</t>
    </rPh>
    <rPh sb="2" eb="3">
      <t>ビ</t>
    </rPh>
    <phoneticPr fontId="2"/>
  </si>
  <si>
    <t>承認希望日</t>
    <rPh sb="0" eb="2">
      <t>ショウニン</t>
    </rPh>
    <rPh sb="2" eb="5">
      <t>キボウビ</t>
    </rPh>
    <phoneticPr fontId="2"/>
  </si>
  <si>
    <t>L(255)Eq</t>
    <phoneticPr fontId="2"/>
  </si>
  <si>
    <t>有</t>
    <rPh sb="0" eb="1">
      <t>アリ</t>
    </rPh>
    <phoneticPr fontId="2"/>
  </si>
  <si>
    <t>約款、商品説明HTML、関連商品CMS等のマスタテーブル</t>
    <phoneticPr fontId="2"/>
  </si>
  <si>
    <t>ID</t>
  </si>
  <si>
    <t>id</t>
  </si>
  <si>
    <t>店舗管理ID（使用予定なし）</t>
  </si>
  <si>
    <t>ＩＤ</t>
  </si>
  <si>
    <t>group_id</t>
  </si>
  <si>
    <t>NL(100)Eq</t>
  </si>
  <si>
    <t>sub_id</t>
  </si>
  <si>
    <t>タイトル</t>
  </si>
  <si>
    <t>title</t>
  </si>
  <si>
    <t>概要</t>
  </si>
  <si>
    <t>abstract</t>
  </si>
  <si>
    <t>データタイプ</t>
  </si>
  <si>
    <t>data_type</t>
  </si>
  <si>
    <t>NL(50)Eq</t>
  </si>
  <si>
    <t>属性１</t>
  </si>
  <si>
    <t>group_attribute_1</t>
  </si>
  <si>
    <t>属性２</t>
  </si>
  <si>
    <t>group_attribute_2</t>
  </si>
  <si>
    <t>属性３</t>
  </si>
  <si>
    <t>group_attribute_3</t>
  </si>
  <si>
    <t>属性４</t>
  </si>
  <si>
    <t>group_attribute_4</t>
  </si>
  <si>
    <t>属性５</t>
  </si>
  <si>
    <t>group_attribute_5</t>
  </si>
  <si>
    <t>属性テキスト１</t>
  </si>
  <si>
    <t>属性テキスト２</t>
  </si>
  <si>
    <t>group_attribute_text_2</t>
  </si>
  <si>
    <t>属性テキスト３</t>
  </si>
  <si>
    <t>group_attribute_text_3</t>
  </si>
  <si>
    <t>属性テキスト４</t>
  </si>
  <si>
    <t>group_attribute_text_4</t>
  </si>
  <si>
    <t>属性テキスト５</t>
  </si>
  <si>
    <t>group_attribute_text_5</t>
  </si>
  <si>
    <t>属性テキスト６</t>
  </si>
  <si>
    <t>group_attribute_text_6</t>
  </si>
  <si>
    <t>属性テキスト７</t>
  </si>
  <si>
    <t>group_attribute_text_7</t>
  </si>
  <si>
    <t>属性テキスト８</t>
  </si>
  <si>
    <t>group_attribute_text_8</t>
  </si>
  <si>
    <t>属性テキスト９</t>
  </si>
  <si>
    <t>group_attribute_text_9</t>
  </si>
  <si>
    <t>属性テキスト１０</t>
  </si>
  <si>
    <t>group_attribute_text_10</t>
  </si>
  <si>
    <t>店舗ＩＤ</t>
  </si>
  <si>
    <t>CMS商品グループID</t>
    <rPh sb="3" eb="5">
      <t>ショウヒン</t>
    </rPh>
    <phoneticPr fontId="0"/>
  </si>
  <si>
    <t>フルテキストインデックス用キー</t>
  </si>
  <si>
    <t>共通説明部品（楽天１・PC用）</t>
  </si>
  <si>
    <t>共通説明部品（楽天２・PC用）</t>
  </si>
  <si>
    <t>共通説明部品（Yahoo）</t>
  </si>
  <si>
    <t>共通説明部品（楽天１・SP用）</t>
  </si>
  <si>
    <t>共通説明部品（楽天２・SP用）</t>
  </si>
  <si>
    <t>概要</t>
    <rPh sb="0" eb="2">
      <t>ガイヨウ</t>
    </rPh>
    <phoneticPr fontId="0"/>
  </si>
  <si>
    <t>このテーブルを一意に識別するキーを格納</t>
  </si>
  <si>
    <t>適切な属性フィールドにワランティ情報、割引情報、ポイント情報、約款情報などをセット</t>
  </si>
  <si>
    <t>削除：「DEL」</t>
  </si>
  <si>
    <t>種別
処理制御では使用しない
ただの印として利用</t>
    <phoneticPr fontId="2"/>
  </si>
  <si>
    <t>PK_uc_product_group_attribute_w</t>
    <phoneticPr fontId="2"/>
  </si>
  <si>
    <t>UK_id</t>
    <phoneticPr fontId="2"/>
  </si>
  <si>
    <t>アンケートマスタ</t>
  </si>
  <si>
    <t>アンケートID</t>
  </si>
  <si>
    <t>quest_id</t>
  </si>
  <si>
    <t>アンケートタイトル</t>
  </si>
  <si>
    <t>quest_title</t>
  </si>
  <si>
    <t>NL(255)Eq</t>
  </si>
  <si>
    <t>アンケート説明</t>
  </si>
  <si>
    <t>quest_exp</t>
  </si>
  <si>
    <t>アンケート種類</t>
  </si>
  <si>
    <t>quest_type</t>
  </si>
  <si>
    <t>設問定義XML</t>
  </si>
  <si>
    <t>quest_xml</t>
  </si>
  <si>
    <t>NXEq</t>
  </si>
  <si>
    <t>作成日時</t>
  </si>
  <si>
    <t>更新日時</t>
  </si>
  <si>
    <t>管理用タイトル（ＨＴＭＬタイトルとしても使用）</t>
  </si>
  <si>
    <t>管理用説明文</t>
    <phoneticPr fontId="2"/>
  </si>
  <si>
    <t>フォーマット検討中。
＜各設問ごとに必要なデータ＞
・回答テーブルのどのフィールドに格納するか
・集計ＩＤ（集計テーブルのキー）
・HTMLデザイン情報（入力フィールド情報、デフォルト値など）
・質問文、回答選択肢などなど</t>
    <phoneticPr fontId="2"/>
  </si>
  <si>
    <t>アンケートＩＤ</t>
    <phoneticPr fontId="2"/>
  </si>
  <si>
    <t>エアコンアンケート：AIRCON001</t>
  </si>
  <si>
    <t>設問定義ＸＭＬ（スキーマはＣＭＳテンプレートと同じ）</t>
    <phoneticPr fontId="2"/>
  </si>
  <si>
    <t>(Empty)：暗号化しない
ACTIVE：暗号化対象フィールドを暗号化する</t>
    <phoneticPr fontId="2"/>
  </si>
  <si>
    <t>(Empty)：送信対象外
SEND：送信対象</t>
    <phoneticPr fontId="2"/>
  </si>
  <si>
    <t>メール送信区分</t>
    <phoneticPr fontId="0"/>
  </si>
  <si>
    <t>通常アンケート：QUESTIONNAIRE
注文アンケート：RECEIPT_QUESTIONNAIRE
など
※全て大文字で！！</t>
    <phoneticPr fontId="2"/>
  </si>
  <si>
    <t>次期EC(5G)では暗号化不要になる想定</t>
    <rPh sb="0" eb="2">
      <t>ジキ</t>
    </rPh>
    <rPh sb="10" eb="13">
      <t>アンゴウカ</t>
    </rPh>
    <rPh sb="13" eb="15">
      <t>フヨウ</t>
    </rPh>
    <rPh sb="18" eb="20">
      <t>ソウテイ</t>
    </rPh>
    <phoneticPr fontId="2"/>
  </si>
  <si>
    <t>max</t>
  </si>
  <si>
    <t>PK_uc_questionnaire_master</t>
    <phoneticPr fontId="2"/>
  </si>
  <si>
    <t>アンケートマスタ履歴</t>
    <rPh sb="8" eb="10">
      <t>リレキ</t>
    </rPh>
    <phoneticPr fontId="2"/>
  </si>
  <si>
    <t>PK_uc_questionnaire_master_history</t>
    <phoneticPr fontId="2"/>
  </si>
  <si>
    <t>history_id</t>
    <phoneticPr fontId="2"/>
  </si>
  <si>
    <t>キー</t>
  </si>
  <si>
    <t>PK_uc_general</t>
  </si>
  <si>
    <t>uc_operation_history</t>
  </si>
  <si>
    <t>(1, 1)</t>
  </si>
  <si>
    <t>access_datetime</t>
  </si>
  <si>
    <t>access_date</t>
  </si>
  <si>
    <t>アクセス年</t>
  </si>
  <si>
    <t>access_year</t>
  </si>
  <si>
    <t>アクセス月</t>
  </si>
  <si>
    <t>access_month</t>
  </si>
  <si>
    <t>アクセス日</t>
  </si>
  <si>
    <t>access_day</t>
  </si>
  <si>
    <t>アクセス時間帯</t>
  </si>
  <si>
    <t>access_hour</t>
  </si>
  <si>
    <t>アクセス曜日</t>
  </si>
  <si>
    <t>day_of_week</t>
  </si>
  <si>
    <t>NL(10)S[月,火,水,木,金,土,日]Eq</t>
  </si>
  <si>
    <t>祝日フラグ</t>
  </si>
  <si>
    <t>holiday</t>
  </si>
  <si>
    <t>L(10)S[HOLIDAY]Eq</t>
  </si>
  <si>
    <t>オペレータID</t>
  </si>
  <si>
    <t>operator_id</t>
  </si>
  <si>
    <t>セッションID</t>
  </si>
  <si>
    <t>session_id</t>
  </si>
  <si>
    <t>会員ID</t>
  </si>
  <si>
    <t>member_id</t>
  </si>
  <si>
    <t>クッキーID</t>
  </si>
  <si>
    <t>cookie_id</t>
  </si>
  <si>
    <t>クライアントIPアドレス</t>
  </si>
  <si>
    <t>client_ip</t>
  </si>
  <si>
    <t>ログタイプ</t>
  </si>
  <si>
    <t>log_type</t>
  </si>
  <si>
    <t>NS[FRONT]Eq</t>
  </si>
  <si>
    <t>ログコード</t>
  </si>
  <si>
    <t>log_code</t>
  </si>
  <si>
    <t>ログメッセージ</t>
  </si>
  <si>
    <t>log_text</t>
  </si>
  <si>
    <t>対象コンテンツ</t>
  </si>
  <si>
    <t>target_url</t>
  </si>
  <si>
    <t>L(1000)Eq</t>
  </si>
  <si>
    <t>対象情報１</t>
  </si>
  <si>
    <t>target_info_1</t>
  </si>
  <si>
    <t>対象情報２</t>
  </si>
  <si>
    <t>target_info_2</t>
  </si>
  <si>
    <t>対象情報３</t>
  </si>
  <si>
    <t>target_info_3</t>
  </si>
  <si>
    <t>対象情報４</t>
  </si>
  <si>
    <t>target_info_4</t>
  </si>
  <si>
    <t>対象情報５</t>
  </si>
  <si>
    <t>target_info_5</t>
  </si>
  <si>
    <t>対象サーバIP</t>
  </si>
  <si>
    <t>server_ip</t>
  </si>
  <si>
    <t>対象サーバ名</t>
  </si>
  <si>
    <t>server_name</t>
  </si>
  <si>
    <t>自動裁番NO</t>
  </si>
  <si>
    <t>HOLIDAY:祝日</t>
  </si>
  <si>
    <t>コードが取得できるならセット</t>
  </si>
  <si>
    <t>ログの内容文字列</t>
  </si>
  <si>
    <t>FRONT:フロントからの登録
RULE:ルールからの登録</t>
    <phoneticPr fontId="2"/>
  </si>
  <si>
    <t>フロントの場合は、エラーページのリファラかな？
ルールの場合は、ルールＩＤ？</t>
    <phoneticPr fontId="2"/>
  </si>
  <si>
    <t>アクセス日付(yyyy/mm/dd hh:mm:ss）</t>
    <phoneticPr fontId="2"/>
  </si>
  <si>
    <t>アクセス日付(yyyy/mm/dd）</t>
    <phoneticPr fontId="2"/>
  </si>
  <si>
    <t>ユーザーエージェント</t>
  </si>
  <si>
    <t>UA-CH情報</t>
    <rPh sb="5" eb="7">
      <t>ジョウホウ</t>
    </rPh>
    <phoneticPr fontId="2"/>
  </si>
  <si>
    <t>UA-CH情報（予備）</t>
    <rPh sb="5" eb="7">
      <t>ジョウホウ</t>
    </rPh>
    <rPh sb="8" eb="10">
      <t>ヨビ</t>
    </rPh>
    <phoneticPr fontId="2"/>
  </si>
  <si>
    <t>uach_1</t>
    <phoneticPr fontId="2"/>
  </si>
  <si>
    <t>uach_2</t>
  </si>
  <si>
    <t>uach_3</t>
  </si>
  <si>
    <t>uach_4</t>
  </si>
  <si>
    <t>uach_5</t>
  </si>
  <si>
    <t>uach_6</t>
  </si>
  <si>
    <t>uach_7</t>
  </si>
  <si>
    <t>uach_8</t>
  </si>
  <si>
    <t>uach_9</t>
  </si>
  <si>
    <t>uach_10</t>
  </si>
  <si>
    <t>uach_11</t>
  </si>
  <si>
    <t>uach_12</t>
  </si>
  <si>
    <t>uach_13</t>
  </si>
  <si>
    <t>uach_14</t>
  </si>
  <si>
    <t>uach_15</t>
  </si>
  <si>
    <t>uach_16</t>
  </si>
  <si>
    <t>uach_17</t>
  </si>
  <si>
    <t>uach_18</t>
  </si>
  <si>
    <t>uach_19</t>
  </si>
  <si>
    <t>uach_20</t>
  </si>
  <si>
    <t>Sec-CH-UA-Arch(10バイト)※追加取得項目</t>
    <rPh sb="22" eb="24">
      <t>ツイカ</t>
    </rPh>
    <rPh sb="24" eb="26">
      <t>シュトク</t>
    </rPh>
    <rPh sb="26" eb="28">
      <t>コウモク</t>
    </rPh>
    <phoneticPr fontId="2"/>
  </si>
  <si>
    <t>Sec-CH-UA-Bitness(10バイト)※追加取得項目</t>
  </si>
  <si>
    <t>Sec-CH-UA-Bitness(10バイト)※追加取得項目</t>
    <phoneticPr fontId="2"/>
  </si>
  <si>
    <t>Sec-CH-UA-Model(20バイト)※追加取得項目</t>
  </si>
  <si>
    <t>Sec-CH-UA-Model(20バイト)※追加取得項目</t>
    <phoneticPr fontId="2"/>
  </si>
  <si>
    <t>Sec-CH-UA-Platform-Version(10バイト)※追加取得項目</t>
  </si>
  <si>
    <t>Sec-CH-UA-Platform-Version(10バイト)※追加取得項目</t>
    <phoneticPr fontId="2"/>
  </si>
  <si>
    <t>Sec-CH-UA-Form-Factor(10バイト)※追加取得項目</t>
  </si>
  <si>
    <t>Sec-CH-UA-Form-Factor(10バイト)※追加取得項目</t>
    <phoneticPr fontId="2"/>
  </si>
  <si>
    <t>Sec-CH-UA-Full-Version(20バイト)※追加取得項目</t>
  </si>
  <si>
    <t>Sec-CH-UA-Full-Version(20バイト)※追加取得項目</t>
    <phoneticPr fontId="2"/>
  </si>
  <si>
    <t>Sec-CH-UA-Full-Version-List(100バイト)※追加取得項目</t>
  </si>
  <si>
    <t>Sec-CH-UA-Full-Version-List(100バイト)※追加取得項目</t>
    <phoneticPr fontId="2"/>
  </si>
  <si>
    <t>Sec-CH-UA-WoW64(2バイト)※追加取得項目</t>
  </si>
  <si>
    <t>Sec-CH-UA-WoW64(2バイト)※追加取得項目</t>
    <phoneticPr fontId="2"/>
  </si>
  <si>
    <t>L(256)Eq</t>
  </si>
  <si>
    <t>L(512)Eq</t>
    <phoneticPr fontId="2"/>
  </si>
  <si>
    <t>ユーザーエージェント
Firefox、Safari、iOS版Chromium系ブラウザについては既存通りの値をセット
Windows,Max,Android等のChromium系ブラウザは不足(省略)あり。UA-CH情報を追加でセットする。
※最大長512文字のため256→512に拡張</t>
    <rPh sb="29" eb="30">
      <t>バン</t>
    </rPh>
    <rPh sb="38" eb="39">
      <t>ケイ</t>
    </rPh>
    <rPh sb="48" eb="50">
      <t>キゾン</t>
    </rPh>
    <rPh sb="50" eb="51">
      <t>ドオ</t>
    </rPh>
    <rPh sb="53" eb="54">
      <t>アタイ</t>
    </rPh>
    <rPh sb="78" eb="79">
      <t>トウ</t>
    </rPh>
    <rPh sb="88" eb="89">
      <t>ケイ</t>
    </rPh>
    <rPh sb="108" eb="110">
      <t>ジョウホウ</t>
    </rPh>
    <rPh sb="111" eb="113">
      <t>ツイカ</t>
    </rPh>
    <rPh sb="122" eb="124">
      <t>サイダイ</t>
    </rPh>
    <rPh sb="124" eb="125">
      <t>チョウ</t>
    </rPh>
    <rPh sb="128" eb="130">
      <t>モジ</t>
    </rPh>
    <rPh sb="141" eb="143">
      <t>カクチョウ</t>
    </rPh>
    <phoneticPr fontId="2"/>
  </si>
  <si>
    <t>Sec-CH-UA(80バイト)※標準取得項目</t>
    <rPh sb="17" eb="19">
      <t>ヒョウジュン</t>
    </rPh>
    <rPh sb="19" eb="21">
      <t>シュトク</t>
    </rPh>
    <rPh sb="21" eb="23">
      <t>コウモク</t>
    </rPh>
    <phoneticPr fontId="2"/>
  </si>
  <si>
    <t>Sec-CH-UA-Mobile(2バイト)※標準取得項目</t>
    <rPh sb="23" eb="25">
      <t>ヒョウジュン</t>
    </rPh>
    <rPh sb="25" eb="27">
      <t>シュトク</t>
    </rPh>
    <phoneticPr fontId="2"/>
  </si>
  <si>
    <t>Sec-CH-UA-Platform(10バイト)※標準取得項目</t>
    <rPh sb="26" eb="28">
      <t>ヒョウジュン</t>
    </rPh>
    <rPh sb="28" eb="30">
      <t>シュトク</t>
    </rPh>
    <phoneticPr fontId="2"/>
  </si>
  <si>
    <t>集計目的の項目としてあるようだが利用はしていないようなので削除したい。</t>
    <rPh sb="0" eb="2">
      <t>シュウケイ</t>
    </rPh>
    <rPh sb="2" eb="4">
      <t>モクテキ</t>
    </rPh>
    <rPh sb="5" eb="7">
      <t>コウモク</t>
    </rPh>
    <rPh sb="16" eb="18">
      <t>リヨウ</t>
    </rPh>
    <rPh sb="29" eb="31">
      <t>サクジョ</t>
    </rPh>
    <phoneticPr fontId="2"/>
  </si>
  <si>
    <t>uc_operation_history</t>
    <phoneticPr fontId="2"/>
  </si>
  <si>
    <t>uc_operation_history_manager</t>
    <phoneticPr fontId="2"/>
  </si>
  <si>
    <t>PK_uc_operation_history</t>
    <phoneticPr fontId="2"/>
  </si>
  <si>
    <t>IX_access_datetimeR</t>
    <phoneticPr fontId="2"/>
  </si>
  <si>
    <t>IX_member_idR</t>
    <phoneticPr fontId="2"/>
  </si>
  <si>
    <t>uc_operation_history2R</t>
  </si>
  <si>
    <t>access_datetime</t>
    <phoneticPr fontId="2"/>
  </si>
  <si>
    <t>member_id</t>
    <phoneticPr fontId="2"/>
  </si>
  <si>
    <t>log_code</t>
    <phoneticPr fontId="2"/>
  </si>
  <si>
    <t>IndexR</t>
    <phoneticPr fontId="2"/>
  </si>
  <si>
    <t>PK_uc_operation_history_manager</t>
    <phoneticPr fontId="2"/>
  </si>
  <si>
    <t>IX_access_datetime</t>
  </si>
  <si>
    <t>operator_id</t>
    <phoneticPr fontId="2"/>
  </si>
  <si>
    <t>target_info_2</t>
    <phoneticPr fontId="2"/>
  </si>
  <si>
    <t>target_info_3</t>
    <phoneticPr fontId="2"/>
  </si>
  <si>
    <t>target_info_4</t>
    <phoneticPr fontId="2"/>
  </si>
  <si>
    <t>target_info_5</t>
    <phoneticPr fontId="2"/>
  </si>
  <si>
    <t>PK_uc_veritrans_shopping_3</t>
    <phoneticPr fontId="2"/>
  </si>
  <si>
    <t>uc_veritrans_shopping</t>
  </si>
  <si>
    <t>IX_cancel_work</t>
  </si>
  <si>
    <t>IX_orderId</t>
  </si>
  <si>
    <t>orderId</t>
  </si>
  <si>
    <t>mstatus</t>
  </si>
  <si>
    <t>regist_type</t>
  </si>
  <si>
    <t>commit_flag</t>
  </si>
  <si>
    <t>管理操作のオペレーションログにUA情報は必要か？</t>
    <rPh sb="0" eb="2">
      <t>カンリ</t>
    </rPh>
    <rPh sb="2" eb="4">
      <t>ソウサ</t>
    </rPh>
    <rPh sb="17" eb="19">
      <t>ジョウホウ</t>
    </rPh>
    <rPh sb="20" eb="22">
      <t>ヒツヨウ</t>
    </rPh>
    <phoneticPr fontId="2"/>
  </si>
  <si>
    <t>ベリトランスショッピング（クレジット）</t>
  </si>
  <si>
    <t>内部ID</t>
    <rPh sb="0" eb="2">
      <t>ナイブ</t>
    </rPh>
    <phoneticPr fontId="4"/>
  </si>
  <si>
    <t>auto(1,1)</t>
  </si>
  <si>
    <t>受注ID</t>
    <rPh sb="0" eb="2">
      <t>ジュチュウ</t>
    </rPh>
    <phoneticPr fontId="2"/>
  </si>
  <si>
    <t>receipt_id</t>
  </si>
  <si>
    <t>ベリトランス登録種別</t>
    <rPh sb="6" eb="8">
      <t>トウロク</t>
    </rPh>
    <rPh sb="8" eb="10">
      <t>シュベツ</t>
    </rPh>
    <phoneticPr fontId="4"/>
  </si>
  <si>
    <t>L(16)Eq</t>
  </si>
  <si>
    <t>登録確定区分</t>
    <rPh sb="0" eb="2">
      <t>トウロク</t>
    </rPh>
    <rPh sb="2" eb="4">
      <t>カクテイ</t>
    </rPh>
    <rPh sb="4" eb="6">
      <t>クブン</t>
    </rPh>
    <phoneticPr fontId="4"/>
  </si>
  <si>
    <t>取引ID</t>
  </si>
  <si>
    <t>カード番号</t>
  </si>
  <si>
    <t>cardNumber</t>
  </si>
  <si>
    <t>カード有効期限</t>
  </si>
  <si>
    <t>cardExpire</t>
  </si>
  <si>
    <t>L(5)Eq</t>
  </si>
  <si>
    <t>accountId</t>
  </si>
  <si>
    <t>カード ID</t>
  </si>
  <si>
    <t>cardId</t>
  </si>
  <si>
    <t>標準カードフラグ</t>
  </si>
  <si>
    <t>defaultCard</t>
  </si>
  <si>
    <t>L(1)Eq</t>
  </si>
  <si>
    <t>仮登録フラグ</t>
  </si>
  <si>
    <t>tempRegistration</t>
  </si>
  <si>
    <t>カード番号マスクタイプ</t>
  </si>
  <si>
    <t>cardNumberMaskType</t>
  </si>
  <si>
    <t>券種コード</t>
  </si>
  <si>
    <t>kindCode</t>
  </si>
  <si>
    <t>決済サービスオプシ ョンタイプ</t>
  </si>
  <si>
    <t>serviceOptionType</t>
  </si>
  <si>
    <t>決済金額</t>
  </si>
  <si>
    <t>amount</t>
  </si>
  <si>
    <t>トークン</t>
  </si>
  <si>
    <t>token</t>
  </si>
  <si>
    <t>L(36)Eq</t>
  </si>
  <si>
    <t>支払種別</t>
  </si>
  <si>
    <t>jpo</t>
  </si>
  <si>
    <t>L(83)Eq</t>
  </si>
  <si>
    <t>売上フラグ</t>
  </si>
  <si>
    <t>withCapture</t>
  </si>
  <si>
    <t>セキュリティコード</t>
  </si>
  <si>
    <t>securityCode</t>
  </si>
  <si>
    <t>L(4)Eq</t>
  </si>
  <si>
    <t>リダイレクション URI</t>
  </si>
  <si>
    <t>redirectionUri</t>
  </si>
  <si>
    <t>L(1024)Eq</t>
  </si>
  <si>
    <t>詳細パラメータ連携フラグ</t>
  </si>
  <si>
    <t>verifyResultLink</t>
  </si>
  <si>
    <t>HTTPユーザエージェ ント</t>
  </si>
  <si>
    <t>httpUserAgent</t>
  </si>
  <si>
    <t>HTTP アクセプト</t>
  </si>
  <si>
    <t>httpAccept</t>
  </si>
  <si>
    <t>プッシュ URL</t>
  </si>
  <si>
    <t>pushUrl</t>
  </si>
  <si>
    <t>本人認証有効期限</t>
  </si>
  <si>
    <t>verifyTimeout</t>
  </si>
  <si>
    <t>L(3)Eq</t>
  </si>
  <si>
    <t>デバイスチャネル</t>
  </si>
  <si>
    <t>deviceChannel</t>
  </si>
  <si>
    <t>L(2)Eq</t>
  </si>
  <si>
    <t>アカウントタイプ</t>
  </si>
  <si>
    <t>accountType</t>
  </si>
  <si>
    <t>カード保有者名</t>
  </si>
  <si>
    <t>cardholderName</t>
  </si>
  <si>
    <t>L(45)Eq</t>
  </si>
  <si>
    <t>カード保有者名省略フラグ</t>
  </si>
  <si>
    <t>cardholderNameOmitFlag</t>
  </si>
  <si>
    <t>カード保有者メールアドレス</t>
  </si>
  <si>
    <t>cardholderEmail</t>
  </si>
  <si>
    <t>L(254)Eq</t>
  </si>
  <si>
    <t>カード保有者自宅電話番号国コード</t>
  </si>
  <si>
    <t>cardholderHomePhoneCountry</t>
  </si>
  <si>
    <t>カード保有者自宅電話番号</t>
    <rPh sb="6" eb="8">
      <t>ジタク</t>
    </rPh>
    <phoneticPr fontId="3"/>
  </si>
  <si>
    <t>cardholderHomePhoneNumber</t>
  </si>
  <si>
    <t>L(15)Eq</t>
  </si>
  <si>
    <t>カード保有者携帯電話番号国コード</t>
    <rPh sb="6" eb="8">
      <t>ケイタイ</t>
    </rPh>
    <phoneticPr fontId="3"/>
  </si>
  <si>
    <t>cardholderMobilePhoneCountry</t>
  </si>
  <si>
    <t>カード保有者携帯電話番号</t>
    <rPh sb="6" eb="8">
      <t>ケイタイ</t>
    </rPh>
    <phoneticPr fontId="3"/>
  </si>
  <si>
    <t>cardholderMobilePhoneNumber</t>
  </si>
  <si>
    <t>カード保有者勤務先電話番号国コード</t>
  </si>
  <si>
    <t>cardholderWorkPhoneCountry</t>
  </si>
  <si>
    <t>カード保有者勤務先電話番号</t>
  </si>
  <si>
    <t>cardholderWorkPhoneNumber</t>
  </si>
  <si>
    <t>請求先住所_市区町村</t>
  </si>
  <si>
    <t>billingAddressCity</t>
  </si>
  <si>
    <t>請求先住所_国</t>
  </si>
  <si>
    <t>billingAddressCountry</t>
  </si>
  <si>
    <t>請求先住所 1</t>
  </si>
  <si>
    <t>billingAddressLine1</t>
  </si>
  <si>
    <t xml:space="preserve">請求先住所 2 </t>
  </si>
  <si>
    <t>billingAddressLine2</t>
  </si>
  <si>
    <t>請求先住所 3</t>
  </si>
  <si>
    <t>billingAddressLine3</t>
  </si>
  <si>
    <t>請求先郵便番号</t>
  </si>
  <si>
    <t>billingPostalCode</t>
  </si>
  <si>
    <t>請求先住所_都道府県</t>
  </si>
  <si>
    <t>billingAddressState</t>
  </si>
  <si>
    <t>配送先住所_市区町村</t>
  </si>
  <si>
    <t>shippingAddressCity</t>
  </si>
  <si>
    <t>配送先住所_国</t>
  </si>
  <si>
    <t>shippingAddressCountry</t>
  </si>
  <si>
    <t>配送先住所 1</t>
  </si>
  <si>
    <t>shippingAddressLine1</t>
  </si>
  <si>
    <t>配送先住所 2</t>
  </si>
  <si>
    <t>shippingAddressLine2</t>
  </si>
  <si>
    <t>配送先住所 3</t>
  </si>
  <si>
    <t>shippingAddressLine3</t>
  </si>
  <si>
    <t>配送先郵便番号</t>
  </si>
  <si>
    <t>shippingPostalCode</t>
  </si>
  <si>
    <t>配送先住所_都道府県</t>
  </si>
  <si>
    <t>shippingAddressState</t>
  </si>
  <si>
    <t>消費者 IP アドレス</t>
  </si>
  <si>
    <t>customerIp</t>
  </si>
  <si>
    <t>チャレンジ認証フラグ</t>
  </si>
  <si>
    <t>withChallenge</t>
  </si>
  <si>
    <t>決済サービスタイプ</t>
  </si>
  <si>
    <t>serviceType</t>
  </si>
  <si>
    <t>処理結果コード</t>
  </si>
  <si>
    <t>L(32)Eq</t>
  </si>
  <si>
    <t>詳細結果コード</t>
  </si>
  <si>
    <t>vResultCode</t>
  </si>
  <si>
    <t>エラーメッセージ</t>
  </si>
  <si>
    <t>merrMsg</t>
  </si>
  <si>
    <t>L(8000)Eq</t>
  </si>
  <si>
    <t>電文ID</t>
  </si>
  <si>
    <t>marchTxn</t>
  </si>
  <si>
    <t>取引毎に付くID</t>
  </si>
  <si>
    <t>custTxn</t>
  </si>
  <si>
    <t>MDKバージョン</t>
  </si>
  <si>
    <t>txnVersion</t>
  </si>
  <si>
    <t>MPI トランザクションタイプ</t>
  </si>
  <si>
    <t>mpiTransactiontype</t>
  </si>
  <si>
    <t>L(6)Eq</t>
  </si>
  <si>
    <t>要求カード番号</t>
  </si>
  <si>
    <t>reqCardNumber</t>
  </si>
  <si>
    <t>要求カード有効期限</t>
  </si>
  <si>
    <t>reqCardExpire</t>
  </si>
  <si>
    <t>要求取引金額</t>
  </si>
  <si>
    <t>reqAmount</t>
  </si>
  <si>
    <t>L(12)Eq</t>
  </si>
  <si>
    <t>要求支払種別情報</t>
  </si>
  <si>
    <t>reqJpoInformation</t>
  </si>
  <si>
    <t>要求同時売上</t>
  </si>
  <si>
    <t>reqWithCapture</t>
  </si>
  <si>
    <t>要求セキュリティコード</t>
  </si>
  <si>
    <t>reqSecurityCode</t>
  </si>
  <si>
    <t>要求リダイレクション URI</t>
  </si>
  <si>
    <t>reqRedirectionUri</t>
  </si>
  <si>
    <t>要求 HTTP ユーザエージェント</t>
  </si>
  <si>
    <t>reqHttpUserAgent</t>
  </si>
  <si>
    <t>要求 HTTP アクセプト</t>
  </si>
  <si>
    <t>reqHttpAccept</t>
  </si>
  <si>
    <t>応答コンテンツ</t>
  </si>
  <si>
    <t>resResponseContents</t>
  </si>
  <si>
    <t>応答会社 ID</t>
  </si>
  <si>
    <t>resCorporationId</t>
  </si>
  <si>
    <t>応答ブランド ID</t>
  </si>
  <si>
    <t>resBrandId</t>
  </si>
  <si>
    <t>応答 3D セキュアメッセージバ ージョン</t>
  </si>
  <si>
    <t>res3dMessageVersion</t>
  </si>
  <si>
    <t>本人認証要求日時</t>
  </si>
  <si>
    <t>authRequestDatetime</t>
  </si>
  <si>
    <t>L(28)Eq</t>
  </si>
  <si>
    <t>本人認証応答日時</t>
  </si>
  <si>
    <t>authResponseDatetime</t>
  </si>
  <si>
    <t>会員管理処理番号</t>
  </si>
  <si>
    <t>processId</t>
  </si>
  <si>
    <t>会員管理ステータス</t>
  </si>
  <si>
    <t>status</t>
  </si>
  <si>
    <t>会員管理メッセージ</t>
  </si>
  <si>
    <t>message</t>
  </si>
  <si>
    <t>L(200)Eq</t>
  </si>
  <si>
    <t>通知内容（XML）</t>
    <rPh sb="2" eb="4">
      <t>ナイヨウ</t>
    </rPh>
    <phoneticPr fontId="2"/>
  </si>
  <si>
    <t>response_xml</t>
  </si>
  <si>
    <t>通知件数</t>
  </si>
  <si>
    <t>push_numberOfNotify</t>
  </si>
  <si>
    <t>送信時刻</t>
  </si>
  <si>
    <t>push_pushTime</t>
  </si>
  <si>
    <t>L(14)Eq</t>
  </si>
  <si>
    <t>識別ID</t>
  </si>
  <si>
    <t>push_pushId</t>
  </si>
  <si>
    <t>push_vResultCode</t>
  </si>
  <si>
    <t>トランザクションタイプ</t>
  </si>
  <si>
    <t>push_txnType</t>
  </si>
  <si>
    <t>MPI結果コード</t>
  </si>
  <si>
    <t>push_mpiMstatus</t>
  </si>
  <si>
    <t>カード結果コード</t>
  </si>
  <si>
    <t>push_cardMstatus</t>
  </si>
  <si>
    <t>ダミー決済フラグ</t>
  </si>
  <si>
    <t>push_dummy</t>
  </si>
  <si>
    <t>プロパティ日付１</t>
    <rPh sb="5" eb="7">
      <t>ヒヅケ</t>
    </rPh>
    <phoneticPr fontId="4"/>
  </si>
  <si>
    <t>property_date1</t>
  </si>
  <si>
    <t>プロパティ日付２</t>
    <rPh sb="5" eb="7">
      <t>ヒヅケ</t>
    </rPh>
    <phoneticPr fontId="4"/>
  </si>
  <si>
    <t>property_date2</t>
  </si>
  <si>
    <t>プロパティ日付３</t>
    <rPh sb="5" eb="7">
      <t>ヒヅケ</t>
    </rPh>
    <phoneticPr fontId="4"/>
  </si>
  <si>
    <t>property_date3</t>
  </si>
  <si>
    <t>作成日</t>
    <rPh sb="0" eb="3">
      <t>サクセイビ</t>
    </rPh>
    <phoneticPr fontId="0"/>
  </si>
  <si>
    <t>更新日</t>
    <rPh sb="0" eb="3">
      <t>コウシンビ</t>
    </rPh>
    <phoneticPr fontId="0"/>
  </si>
  <si>
    <t>作成者</t>
    <rPh sb="0" eb="3">
      <t>サクセイシャ</t>
    </rPh>
    <phoneticPr fontId="0"/>
  </si>
  <si>
    <t>更新者</t>
    <rPh sb="0" eb="3">
      <t>コウシンシャ</t>
    </rPh>
    <phoneticPr fontId="0"/>
  </si>
  <si>
    <t>削除区分</t>
    <rPh sb="0" eb="2">
      <t>サクジョ</t>
    </rPh>
    <rPh sb="2" eb="4">
      <t>クブン</t>
    </rPh>
    <phoneticPr fontId="4"/>
  </si>
  <si>
    <t>クラスタ化インデックス！</t>
    <rPh sb="4" eb="5">
      <t>カ</t>
    </rPh>
    <phoneticPr fontId="4"/>
  </si>
  <si>
    <t>PK＆UK!　FUID</t>
  </si>
  <si>
    <t xml:space="preserve">無ければ空
</t>
    <rPh sb="0" eb="1">
      <t>ナ</t>
    </rPh>
    <rPh sb="4" eb="5">
      <t>カラ</t>
    </rPh>
    <phoneticPr fontId="4"/>
  </si>
  <si>
    <t xml:space="preserve">注文＋新規登録：AUTHORIZE1
注文＋更新登録：AUTHORIZE2
注文(登録情報利用)：AUTHORIZE3
注文(登録情報利用なし＋登録情報なし＋ゲスト注文)：AUTHORIZE4
キャンセル：CANCEL
照会：INQUIRY
削除：DELETE
通知：PUSH
</t>
    <rPh sb="0" eb="2">
      <t>チュウモン</t>
    </rPh>
    <rPh sb="3" eb="5">
      <t>シンキ</t>
    </rPh>
    <rPh sb="5" eb="7">
      <t>トウロク</t>
    </rPh>
    <rPh sb="110" eb="112">
      <t>ショウカイ</t>
    </rPh>
    <rPh sb="121" eb="123">
      <t>サクジョ</t>
    </rPh>
    <rPh sb="131" eb="133">
      <t>ツウチ</t>
    </rPh>
    <phoneticPr fontId="4"/>
  </si>
  <si>
    <t xml:space="preserve">MDKに送信前、送信情報セット：REQUEST
MDK応答後、応答情報セット：RESPONSE
PUSH結果後、PUSH情報セット：PUSH
</t>
    <rPh sb="4" eb="6">
      <t>ソウシン</t>
    </rPh>
    <rPh sb="6" eb="7">
      <t>マエ</t>
    </rPh>
    <rPh sb="8" eb="10">
      <t>ソウシン</t>
    </rPh>
    <rPh sb="10" eb="12">
      <t>ジョウホウ</t>
    </rPh>
    <rPh sb="27" eb="29">
      <t>オウトウ</t>
    </rPh>
    <rPh sb="29" eb="30">
      <t>ゴ</t>
    </rPh>
    <rPh sb="31" eb="33">
      <t>オウトウ</t>
    </rPh>
    <rPh sb="33" eb="35">
      <t>ジョウホウ</t>
    </rPh>
    <rPh sb="52" eb="54">
      <t>ケッカ</t>
    </rPh>
    <rPh sb="54" eb="55">
      <t>ゴ</t>
    </rPh>
    <rPh sb="60" eb="62">
      <t>ジョウホウ</t>
    </rPh>
    <phoneticPr fontId="4"/>
  </si>
  <si>
    <t>ベリトランス電文内容をそのままセット（要求、応答、PUSH共用）</t>
    <rPh sb="6" eb="8">
      <t>デンブン</t>
    </rPh>
    <rPh sb="8" eb="10">
      <t>ナイヨウ</t>
    </rPh>
    <rPh sb="19" eb="21">
      <t>ヨウキュウ</t>
    </rPh>
    <rPh sb="22" eb="24">
      <t>オウトウ</t>
    </rPh>
    <rPh sb="29" eb="31">
      <t>キョウヨウ</t>
    </rPh>
    <phoneticPr fontId="4"/>
  </si>
  <si>
    <t>ベリトランス電文内容をそのままセット（要求、応答共用）</t>
    <rPh sb="6" eb="8">
      <t>デンブン</t>
    </rPh>
    <rPh sb="8" eb="10">
      <t>ナイヨウ</t>
    </rPh>
    <rPh sb="19" eb="21">
      <t>ヨウキュウ</t>
    </rPh>
    <rPh sb="22" eb="24">
      <t>オウトウ</t>
    </rPh>
    <rPh sb="24" eb="26">
      <t>キョウヨウ</t>
    </rPh>
    <phoneticPr fontId="4"/>
  </si>
  <si>
    <t>ベリトランス電文内容をそのままセット（要求用）</t>
    <rPh sb="6" eb="8">
      <t>デンブン</t>
    </rPh>
    <rPh sb="8" eb="10">
      <t>ナイヨウ</t>
    </rPh>
    <rPh sb="19" eb="21">
      <t>ヨウキュウ</t>
    </rPh>
    <rPh sb="21" eb="22">
      <t>ヨウ</t>
    </rPh>
    <rPh sb="22" eb="23">
      <t>オウヨウ</t>
    </rPh>
    <phoneticPr fontId="4"/>
  </si>
  <si>
    <t>ベリトランス電文内容をそのままセット（応答用）</t>
    <rPh sb="6" eb="8">
      <t>デンブン</t>
    </rPh>
    <rPh sb="8" eb="10">
      <t>ナイヨウ</t>
    </rPh>
    <rPh sb="19" eb="21">
      <t>オウトウ</t>
    </rPh>
    <rPh sb="21" eb="22">
      <t>ヨウ</t>
    </rPh>
    <rPh sb="22" eb="23">
      <t>オウヨウ</t>
    </rPh>
    <phoneticPr fontId="4"/>
  </si>
  <si>
    <t>ベリトランスからの結果通知内容XML
サンプル）
&lt;Ucf&gt;
  &lt;numberOfNotify&gt;1&lt;/numberOfNotify&gt;
  &lt;pushTime&gt;20171129143227&lt;/pushTime&gt;
  &lt;pushId&gt;10171460&lt;/pushId&gt;
  &lt;orderId0000&gt;201711291457&lt;/orderId0000&gt;
  &lt;vResultCode0000&gt;G011A00100000000&lt;/vResultCode0000&gt;
  &lt;txnType0000&gt;Verify&lt;/txnType0000&gt;
  &lt;mpiMstatus0000&gt;success&lt;/mpiMstatus0000&gt;
  &lt;cardMstatus0000&gt;success&lt;/cardMstatus0000&gt;
  &lt;dummy0000&gt;1&lt;/dummy0000&gt;
&lt;/Ucf&gt;</t>
    <rPh sb="9" eb="11">
      <t>ケッカ</t>
    </rPh>
    <rPh sb="11" eb="13">
      <t>ツウチ</t>
    </rPh>
    <rPh sb="13" eb="15">
      <t>ナイヨウ</t>
    </rPh>
    <phoneticPr fontId="2"/>
  </si>
  <si>
    <t>度に通知可能な件数は 1,000 件
1,001 件以上は次回通知</t>
    <rPh sb="0" eb="1">
      <t>ド</t>
    </rPh>
    <rPh sb="2" eb="4">
      <t>ツウチ</t>
    </rPh>
    <rPh sb="4" eb="6">
      <t>カノウ</t>
    </rPh>
    <rPh sb="7" eb="9">
      <t>ケンスウ</t>
    </rPh>
    <rPh sb="17" eb="18">
      <t>ケン</t>
    </rPh>
    <rPh sb="25" eb="28">
      <t>ケンイジョウ</t>
    </rPh>
    <rPh sb="29" eb="31">
      <t>ジカイ</t>
    </rPh>
    <rPh sb="31" eb="33">
      <t>ツウチ</t>
    </rPh>
    <phoneticPr fontId="4"/>
  </si>
  <si>
    <t>決済サーバーから通知した時刻
YYYYMMDDhhmmss 形式</t>
    <rPh sb="0" eb="2">
      <t>ケッサイ</t>
    </rPh>
    <rPh sb="8" eb="10">
      <t>ツウチ</t>
    </rPh>
    <rPh sb="12" eb="14">
      <t>ジコク</t>
    </rPh>
    <rPh sb="30" eb="32">
      <t>ケイシキ</t>
    </rPh>
    <phoneticPr fontId="4"/>
  </si>
  <si>
    <t>プッシュ処理を行うたびに採番される ID
注） 他の決済サービスで使用された ID と重複する場合があります。</t>
    <rPh sb="4" eb="6">
      <t>ショリ</t>
    </rPh>
    <rPh sb="7" eb="8">
      <t>オコナ</t>
    </rPh>
    <rPh sb="12" eb="13">
      <t>サイ</t>
    </rPh>
    <rPh sb="13" eb="14">
      <t>バン</t>
    </rPh>
    <rPh sb="21" eb="22">
      <t>チュウ</t>
    </rPh>
    <rPh sb="24" eb="25">
      <t>タ</t>
    </rPh>
    <rPh sb="26" eb="28">
      <t>ケッサイ</t>
    </rPh>
    <rPh sb="33" eb="35">
      <t>シヨウ</t>
    </rPh>
    <rPh sb="43" eb="45">
      <t>ジュウフク</t>
    </rPh>
    <rPh sb="47" eb="49">
      <t>バアイ</t>
    </rPh>
    <phoneticPr fontId="4"/>
  </si>
  <si>
    <t>処理結果を詳細に表すコード
処理結果コードの詳細は、『結果コード一覧』をご参照ください。</t>
    <rPh sb="0" eb="2">
      <t>ショリ</t>
    </rPh>
    <rPh sb="2" eb="4">
      <t>ケッカ</t>
    </rPh>
    <rPh sb="5" eb="7">
      <t>ショウサイ</t>
    </rPh>
    <rPh sb="8" eb="9">
      <t>ヒョウ</t>
    </rPh>
    <rPh sb="14" eb="16">
      <t>ショリ</t>
    </rPh>
    <rPh sb="16" eb="18">
      <t>ケッカ</t>
    </rPh>
    <rPh sb="22" eb="24">
      <t>ショウサイ</t>
    </rPh>
    <rPh sb="27" eb="29">
      <t>ケッカ</t>
    </rPh>
    <rPh sb="32" eb="34">
      <t>イチラン</t>
    </rPh>
    <rPh sb="37" eb="39">
      <t>サンショウ</t>
    </rPh>
    <phoneticPr fontId="4"/>
  </si>
  <si>
    <t>"Verify"：本人認証結果</t>
    <rPh sb="9" eb="11">
      <t>ホンニン</t>
    </rPh>
    <rPh sb="11" eb="13">
      <t>ニンショウ</t>
    </rPh>
    <rPh sb="13" eb="15">
      <t>ケッカ</t>
    </rPh>
    <phoneticPr fontId="4"/>
  </si>
  <si>
    <t>"success "：正常終了
"failure" ：異常終了
“pending” ：ペンディング
※mpi-none（MPI 単体サービス）の場合と MPI 結果コードが failure の場合は空</t>
    <rPh sb="11" eb="13">
      <t>セイジョウ</t>
    </rPh>
    <rPh sb="13" eb="15">
      <t>シュウリョウ</t>
    </rPh>
    <rPh sb="27" eb="29">
      <t>イジョウ</t>
    </rPh>
    <rPh sb="29" eb="31">
      <t>シュウリョウ</t>
    </rPh>
    <rPh sb="64" eb="66">
      <t>タンタイ</t>
    </rPh>
    <rPh sb="72" eb="74">
      <t>バアイ</t>
    </rPh>
    <rPh sb="80" eb="82">
      <t>ケッカ</t>
    </rPh>
    <rPh sb="96" eb="98">
      <t>バアイ</t>
    </rPh>
    <rPh sb="99" eb="100">
      <t>カラ</t>
    </rPh>
    <phoneticPr fontId="4"/>
  </si>
  <si>
    <t>"success "：正常終了
"failure" ：異常終了</t>
    <rPh sb="11" eb="13">
      <t>セイジョウ</t>
    </rPh>
    <rPh sb="13" eb="15">
      <t>シュウリョウ</t>
    </rPh>
    <rPh sb="27" eb="29">
      <t>イジョウ</t>
    </rPh>
    <rPh sb="29" eb="31">
      <t>シュウリョウ</t>
    </rPh>
    <phoneticPr fontId="4"/>
  </si>
  <si>
    <t>本人認証の処理結果ステータス</t>
    <rPh sb="0" eb="2">
      <t>ホンニン</t>
    </rPh>
    <rPh sb="2" eb="4">
      <t>ニンショウ</t>
    </rPh>
    <rPh sb="5" eb="7">
      <t>ショリ</t>
    </rPh>
    <rPh sb="7" eb="9">
      <t>ケッカ</t>
    </rPh>
    <phoneticPr fontId="4"/>
  </si>
  <si>
    <t>ダミー取引の場合"1"
本番取引の場合"0"</t>
    <rPh sb="3" eb="5">
      <t>トリヒキ</t>
    </rPh>
    <rPh sb="6" eb="8">
      <t>バアイ</t>
    </rPh>
    <rPh sb="12" eb="14">
      <t>ホンバン</t>
    </rPh>
    <rPh sb="14" eb="16">
      <t>トリヒキ</t>
    </rPh>
    <rPh sb="17" eb="19">
      <t>バアイ</t>
    </rPh>
    <phoneticPr fontId="4"/>
  </si>
  <si>
    <t>DGFTのMPI利用(クレジットカード）・処理状況履歴</t>
    <rPh sb="8" eb="10">
      <t>リヨウ</t>
    </rPh>
    <rPh sb="21" eb="23">
      <t>ショリ</t>
    </rPh>
    <rPh sb="23" eb="25">
      <t>ジョウキョウ</t>
    </rPh>
    <rPh sb="25" eb="27">
      <t>リレキ</t>
    </rPh>
    <phoneticPr fontId="2"/>
  </si>
  <si>
    <t>AmazonPayショッピング</t>
  </si>
  <si>
    <t>内部ID</t>
  </si>
  <si>
    <t>クラスタ化インデックス（AutoNumberにて自動付与）</t>
  </si>
  <si>
    <t>顧客ID</t>
  </si>
  <si>
    <t>customer_id</t>
  </si>
  <si>
    <t>買い物かごID</t>
  </si>
  <si>
    <t>basket_id</t>
  </si>
  <si>
    <t>受注番号</t>
  </si>
  <si>
    <t>receipt_id3</t>
  </si>
  <si>
    <t>支払い金額</t>
  </si>
  <si>
    <t>サイト区分</t>
  </si>
  <si>
    <t>site_type</t>
  </si>
  <si>
    <t>マッチングID</t>
  </si>
  <si>
    <t>matching_key</t>
  </si>
  <si>
    <t>チェックアウトセッションID</t>
  </si>
  <si>
    <t>checkoutSessionId</t>
  </si>
  <si>
    <t>Amazon Pay注文ID</t>
  </si>
  <si>
    <t>chargePermissionId</t>
  </si>
  <si>
    <t>請求取引ID</t>
  </si>
  <si>
    <t>chargeId</t>
  </si>
  <si>
    <t>返金ID</t>
  </si>
  <si>
    <t>refundId</t>
  </si>
  <si>
    <t>バイヤーID</t>
  </si>
  <si>
    <t>buyerId</t>
  </si>
  <si>
    <t>実行API名</t>
  </si>
  <si>
    <t>cooperation_status</t>
  </si>
  <si>
    <t>実行APIサブID</t>
  </si>
  <si>
    <t>api_sub_id</t>
  </si>
  <si>
    <t>実行結果</t>
  </si>
  <si>
    <t>result_status</t>
  </si>
  <si>
    <t>リクエスト/レスポンス値</t>
  </si>
  <si>
    <t>data_value</t>
  </si>
  <si>
    <t>ステータスコード</t>
  </si>
  <si>
    <t>status_code</t>
  </si>
  <si>
    <t>エラーコード</t>
  </si>
  <si>
    <t>reason_code</t>
  </si>
  <si>
    <t>エラー詳細</t>
  </si>
  <si>
    <t>予備フィールド</t>
  </si>
  <si>
    <t>プロパティ６</t>
  </si>
  <si>
    <t>property6</t>
  </si>
  <si>
    <t>プロパティ７</t>
  </si>
  <si>
    <t>property7</t>
  </si>
  <si>
    <t>プロパティ８</t>
  </si>
  <si>
    <t>property8</t>
  </si>
  <si>
    <t>プロパティ９</t>
  </si>
  <si>
    <t>property9</t>
  </si>
  <si>
    <t>プロパティ１０</t>
  </si>
  <si>
    <t>property10</t>
  </si>
  <si>
    <t>バッチ名</t>
  </si>
  <si>
    <t>UK GUID</t>
    <phoneticPr fontId="2"/>
  </si>
  <si>
    <t>顧客ID 
※必要に応じてセット
※ゲストの場合はセッションIDをセット</t>
    <phoneticPr fontId="2"/>
  </si>
  <si>
    <t>バスケットID
※必要に応じてセット</t>
    <phoneticPr fontId="2"/>
  </si>
  <si>
    <t>受注マスタ．受注番号(receipt_id3)
※必要に応じてセット</t>
    <phoneticPr fontId="2"/>
  </si>
  <si>
    <t>支払い金額
（ClosechargePermissionを投げる際に利用する）
※必要に応じてセット</t>
    <phoneticPr fontId="2"/>
  </si>
  <si>
    <t xml:space="preserve">リクエストとレスポンスの組み合わせ用キー
</t>
    <phoneticPr fontId="2"/>
  </si>
  <si>
    <t>Amazon PayのセッションID（文字列36桁）
95b66af7-5feb-47af-94a5-688cdd177ccc（SANDBOX）</t>
    <phoneticPr fontId="2"/>
  </si>
  <si>
    <t xml:space="preserve">Amazon Payの注文ID（文字列19桁）
P03-1234567-9876543（本番環境）
S03-1234567-9876543（SANDBOX）
http://amazonpay-integration.amazon.co.jp/amazonpay-faq-v2/detail.html?id=QA-19
</t>
    <phoneticPr fontId="2"/>
  </si>
  <si>
    <t>オーソリ、売上請求の取引ID（文字列27桁）
P03-1234567-9876543-C123456（本番環境）
S03-1234567-9876543-C123456（SANDBOX）</t>
    <phoneticPr fontId="2"/>
  </si>
  <si>
    <t>返金の取引ID
文字列27桁
P03-1234567-9876543-R123456（本番環境）
S03-1234567-9876543-R123456（SANDBOX）
※本案件では、未使用項目</t>
    <phoneticPr fontId="2"/>
  </si>
  <si>
    <t>購入者固有のID
文字列42桁 
amzn1.account.AJG7G4SGT65OISH9TQSDG7QHMAIA</t>
    <phoneticPr fontId="2"/>
  </si>
  <si>
    <t>"空"　：　未連携
"SUCCESS" ： 連携成功
"ERROR" ： 連携失敗</t>
    <phoneticPr fontId="2"/>
  </si>
  <si>
    <t>REQUEST：
RESPONSE：</t>
    <phoneticPr fontId="2"/>
  </si>
  <si>
    <t>"You submitted an invalid value for at least one of the header parameters of your API call"等</t>
    <phoneticPr fontId="2"/>
  </si>
  <si>
    <t>予備フィールド</t>
    <phoneticPr fontId="2"/>
  </si>
  <si>
    <t xml:space="preserve">予備フィールド　3/9 利用
注文の請求ステータス 
</t>
    <phoneticPr fontId="2"/>
  </si>
  <si>
    <t>Authorized 
Open</t>
    <phoneticPr fontId="2"/>
  </si>
  <si>
    <t>"InvalidHeaderValue"
"InvalidChargePermissionStatus"
等</t>
    <phoneticPr fontId="2"/>
  </si>
  <si>
    <t>"200"
"400"
"405"
"Open"
等</t>
    <phoneticPr fontId="2"/>
  </si>
  <si>
    <t>リクエスト値 または レスポンス値</t>
    <phoneticPr fontId="2"/>
  </si>
  <si>
    <t>”実行API名”　：　連携状況(実行動作・処理名)
"CreateCheckoutSession" ： AmazonPay注文 (【フロント】AmazonPayボタン押下時)
"GetCheckoutSession" ： 住所情報取得 (【フロント】AmazonPayボタン押下し、AmazonPayページから注文確認画面に遷移時)
"UpdateCheckoutSession" ： 注文 (【フロント】注文確認ボタン押下時)
"CompleteCheckoutSession"：注文・決済確定 (【フロント】注文確認ボタン押下後、AmazonPay与信取得後)
"CaptureCharge" ： 売上請求 (【バッチ】AmazonPay売上請求バッチ実行時)
"GetCharge" ： 売上請求結果の確認 (【バッチ】AmazonPay売上結果確認バッチ、AmazonPayオーソリキャンセル結果確認バッチ実行時)
"CloseChargePermission" ： 注文取消 (【バッチ】AmazonPayオーソリキャンセルバッチ実行時)
"DeliveryTrackers" ： 出荷情報連携 (【バッチ】AmazonPay配送状況連携(Alexa)バッチ実行時)
"CreateRefund" ： 返金(売上請求後)
※赤文字は、本案件で未使用</t>
    <phoneticPr fontId="2"/>
  </si>
  <si>
    <t xml:space="preserve">凡例
</t>
    <phoneticPr fontId="2"/>
  </si>
  <si>
    <t xml:space="preserve">サイト区分  ※コンフィグファイル（Ucf2\sys\ConfigXmlTemplate.ｘｘｘｘｘ.xml）の「Ucf/Config/SiteID」ノードの値をセットする
</t>
    <phoneticPr fontId="2"/>
  </si>
  <si>
    <t>区分値：　
EC
EC_A
EC_U
（※バッチから呼ばれた場合もECがスタンプされる）</t>
    <phoneticPr fontId="2"/>
  </si>
  <si>
    <t xml:space="preserve">実行APIが同じ場合にサブIDを使用して判別 
</t>
    <phoneticPr fontId="2"/>
  </si>
  <si>
    <t>"1"　：　【バッチ】AmazonPayオーソリキャンセル結果確認バッチ
"2"　：　【バッチ】AmazonPay売上結果確認バッチ
※決まり次第都度記載</t>
    <phoneticPr fontId="2"/>
  </si>
  <si>
    <t>uc_amazonpay_shopping</t>
    <phoneticPr fontId="2"/>
  </si>
  <si>
    <t>PK_uc_amazonpay_shopping</t>
  </si>
  <si>
    <t>IX_chargeId_R</t>
  </si>
  <si>
    <t>IX_chargePermissionId_R</t>
  </si>
  <si>
    <t>IX_site_type_R</t>
  </si>
  <si>
    <t>chargeId</t>
    <phoneticPr fontId="2"/>
  </si>
  <si>
    <t>chargePermissionId</t>
    <phoneticPr fontId="2"/>
  </si>
  <si>
    <t>cooperation_status</t>
    <phoneticPr fontId="2"/>
  </si>
  <si>
    <t>data_type</t>
    <phoneticPr fontId="2"/>
  </si>
  <si>
    <t>date_changed</t>
    <phoneticPr fontId="2"/>
  </si>
  <si>
    <t>receipt_id3</t>
    <phoneticPr fontId="2"/>
  </si>
  <si>
    <t>result_status</t>
    <phoneticPr fontId="2"/>
  </si>
  <si>
    <t>IX_cooperation_status_R</t>
    <phoneticPr fontId="2"/>
  </si>
  <si>
    <t>IX_data_type_R</t>
    <phoneticPr fontId="2"/>
  </si>
  <si>
    <t>IX_receipt_id3_R</t>
    <phoneticPr fontId="2"/>
  </si>
  <si>
    <t>IX_result_status_R</t>
    <phoneticPr fontId="2"/>
  </si>
  <si>
    <t>uc_recaptcha_history</t>
    <phoneticPr fontId="2"/>
  </si>
  <si>
    <t>PK_uc_recaptcha_history</t>
  </si>
  <si>
    <t>降順</t>
    <rPh sb="0" eb="2">
      <t>コウジュン</t>
    </rPh>
    <phoneticPr fontId="2"/>
  </si>
  <si>
    <t>IX_uc_recaptcha_history_date_changed</t>
    <phoneticPr fontId="2"/>
  </si>
  <si>
    <t>リキャプチャ履歴</t>
    <rPh sb="6" eb="8">
      <t>リレキ</t>
    </rPh>
    <phoneticPr fontId="0"/>
  </si>
  <si>
    <t>auto()</t>
  </si>
  <si>
    <t>◯</t>
  </si>
  <si>
    <t>NL(20)Eq</t>
  </si>
  <si>
    <t>動作タイプ</t>
    <rPh sb="0" eb="2">
      <t>ドウサ</t>
    </rPh>
    <phoneticPr fontId="0"/>
  </si>
  <si>
    <t>action_type</t>
  </si>
  <si>
    <t>顧客ID</t>
    <rPh sb="0" eb="2">
      <t>コキャク</t>
    </rPh>
    <phoneticPr fontId="0"/>
  </si>
  <si>
    <t>メールアドレス</t>
  </si>
  <si>
    <t>mail_address</t>
  </si>
  <si>
    <t>ip_address</t>
  </si>
  <si>
    <t>対象ページURL</t>
    <rPh sb="0" eb="2">
      <t>タイショウ</t>
    </rPh>
    <phoneticPr fontId="0"/>
  </si>
  <si>
    <t>リファラURL</t>
  </si>
  <si>
    <t>referer_url</t>
  </si>
  <si>
    <t>ログテキスト</t>
  </si>
  <si>
    <t>サーバーIP</t>
  </si>
  <si>
    <t>サーバー名</t>
    <rPh sb="4" eb="5">
      <t>メイ</t>
    </rPh>
    <phoneticPr fontId="0"/>
  </si>
  <si>
    <t>reCAPTCHAレスポンス</t>
  </si>
  <si>
    <t>res_success</t>
  </si>
  <si>
    <t>res_challenge_ts</t>
  </si>
  <si>
    <t>res_hostname</t>
  </si>
  <si>
    <t>res_score</t>
  </si>
  <si>
    <t>res_action</t>
  </si>
  <si>
    <t>res_error_code</t>
  </si>
  <si>
    <t xml:space="preserve">区分値
01：会員登録 
02：会員登録　課金カード入力
11：ログイン
12：ゲストログイン（注文確認） 
13：リマインダー 
31：カード情報変更 
32：月額クレジットカード情報変更
33：会員アップグレード
41：注文フロー </t>
    <rPh sb="7" eb="11">
      <t>カイイントウロク</t>
    </rPh>
    <rPh sb="16" eb="20">
      <t>カイイントウロク</t>
    </rPh>
    <rPh sb="21" eb="23">
      <t>カキン</t>
    </rPh>
    <rPh sb="26" eb="28">
      <t>ニュウリョク</t>
    </rPh>
    <rPh sb="81" eb="83">
      <t>ゲツガク</t>
    </rPh>
    <rPh sb="91" eb="93">
      <t>ジョウホウ</t>
    </rPh>
    <rPh sb="93" eb="95">
      <t>ヘンコウ</t>
    </rPh>
    <rPh sb="99" eb="101">
      <t>カイイン</t>
    </rPh>
    <phoneticPr fontId="0"/>
  </si>
  <si>
    <t>クライアントIPアドレス情報</t>
    <rPh sb="12" eb="14">
      <t>ジョウホウ</t>
    </rPh>
    <phoneticPr fontId="0"/>
  </si>
  <si>
    <t>reCAPTCHAの結果から判断したログのコード</t>
    <rPh sb="10" eb="12">
      <t>ケッカ</t>
    </rPh>
    <rPh sb="14" eb="16">
      <t>ハンダン</t>
    </rPh>
    <phoneticPr fontId="0"/>
  </si>
  <si>
    <t>reCAPTCHAの結果から判断したログコードに対するメッセージや、通信エラー等のログを残す。</t>
    <rPh sb="10" eb="12">
      <t>ケッカ</t>
    </rPh>
    <rPh sb="14" eb="16">
      <t>ハンダン</t>
    </rPh>
    <rPh sb="24" eb="25">
      <t>タイ</t>
    </rPh>
    <rPh sb="34" eb="36">
      <t>ツウシン</t>
    </rPh>
    <rPh sb="39" eb="40">
      <t>トウ</t>
    </rPh>
    <rPh sb="44" eb="45">
      <t>ノコ</t>
    </rPh>
    <phoneticPr fontId="0"/>
  </si>
  <si>
    <t>受付窓口のWEBサーバーIP</t>
    <rPh sb="0" eb="2">
      <t>ウケツケ</t>
    </rPh>
    <rPh sb="2" eb="4">
      <t>マドグチ</t>
    </rPh>
    <phoneticPr fontId="0"/>
  </si>
  <si>
    <t>受付窓口のWEBサーバー名</t>
    <rPh sb="0" eb="2">
      <t>ウケツケ</t>
    </rPh>
    <rPh sb="2" eb="4">
      <t>マドグチ</t>
    </rPh>
    <rPh sb="12" eb="13">
      <t>メイ</t>
    </rPh>
    <phoneticPr fontId="0"/>
  </si>
  <si>
    <t>タイムスタンプ　ISO形式 
yyyy-MM-dd'T'HH:mm:ssZZ</t>
    <rPh sb="11" eb="13">
      <t>ケイシキ</t>
    </rPh>
    <phoneticPr fontId="0"/>
  </si>
  <si>
    <t>数値（文字列）
0.0～1.0</t>
    <rPh sb="0" eb="2">
      <t>スウチ</t>
    </rPh>
    <rPh sb="3" eb="6">
      <t>モジレツ</t>
    </rPh>
    <phoneticPr fontId="0"/>
  </si>
  <si>
    <t>(blank）：未削除
DEL：削除済</t>
    <rPh sb="8" eb="9">
      <t>ミ</t>
    </rPh>
    <rPh sb="9" eb="11">
      <t>サクジョ</t>
    </rPh>
    <rPh sb="18" eb="19">
      <t>スミ</t>
    </rPh>
    <phoneticPr fontId="0"/>
  </si>
  <si>
    <t>EC：ソフマップ・ドットコム
EC_A ：アキバ☆ソフマップ
EC_U：リコレ！</t>
    <phoneticPr fontId="2"/>
  </si>
  <si>
    <t>true または false</t>
    <phoneticPr fontId="2"/>
  </si>
  <si>
    <t>ホストネーム</t>
    <phoneticPr fontId="2"/>
  </si>
  <si>
    <t>ログインしている場合のみ顧客IDをセットする</t>
    <rPh sb="8" eb="10">
      <t>バアイ</t>
    </rPh>
    <rPh sb="12" eb="14">
      <t>コキャク</t>
    </rPh>
    <phoneticPr fontId="22"/>
  </si>
  <si>
    <t>入力がある場合のみセットする</t>
    <rPh sb="0" eb="2">
      <t>ニュウリョク</t>
    </rPh>
    <rPh sb="5" eb="7">
      <t>バアイ</t>
    </rPh>
    <phoneticPr fontId="22"/>
  </si>
  <si>
    <t>セッションID</t>
    <phoneticPr fontId="22"/>
  </si>
  <si>
    <t>会員の場合は顧客ID
ゲストの場合はGUID</t>
    <phoneticPr fontId="2"/>
  </si>
  <si>
    <t>キャプチャ認証を呼び出した画面のURL
※パラメータも含む状態で</t>
    <rPh sb="5" eb="7">
      <t>ニンショウ</t>
    </rPh>
    <rPh sb="8" eb="9">
      <t>ヨ</t>
    </rPh>
    <rPh sb="10" eb="11">
      <t>ダ</t>
    </rPh>
    <rPh sb="13" eb="15">
      <t>ガメン</t>
    </rPh>
    <rPh sb="27" eb="28">
      <t>フク</t>
    </rPh>
    <rPh sb="29" eb="31">
      <t>ジョウタイ</t>
    </rPh>
    <phoneticPr fontId="0"/>
  </si>
  <si>
    <t>リファラのURL
※取得できた場合のみセットする</t>
    <phoneticPr fontId="2"/>
  </si>
  <si>
    <t>0.1
0.3
0.7
0.9</t>
    <phoneticPr fontId="2"/>
  </si>
  <si>
    <t>リキャプチャのレスポンスに含まれているエラーコード</t>
    <phoneticPr fontId="2"/>
  </si>
  <si>
    <t>missing-input-secret：シークレットキーがありません
invalid-input-secret：シークレットキーが有効ではありません
missing-input-response：トークン（response）がありません
invalid-input-response：トークン（response）が有効ではありません
bad-request：無効なリクエスト
timeout-or-duplicate：トークン（response）が期限切れか、または既に使われた値です</t>
    <phoneticPr fontId="2"/>
  </si>
  <si>
    <t>PK_uc_dat_login_session</t>
  </si>
  <si>
    <t>PRIMARY</t>
    <phoneticPr fontId="2"/>
  </si>
  <si>
    <t>auth_id</t>
  </si>
  <si>
    <t>auth_id</t>
    <phoneticPr fontId="2"/>
  </si>
  <si>
    <t>01</t>
  </si>
  <si>
    <t>11</t>
  </si>
  <si>
    <t>12</t>
  </si>
  <si>
    <t>13</t>
  </si>
  <si>
    <t>31</t>
  </si>
  <si>
    <t>41</t>
  </si>
  <si>
    <t>自動連番</t>
    <rPh sb="0" eb="2">
      <t>ジドウ</t>
    </rPh>
    <rPh sb="2" eb="4">
      <t>レンバン</t>
    </rPh>
    <phoneticPr fontId="0"/>
  </si>
  <si>
    <t>サイトに応じた区分値</t>
    <rPh sb="4" eb="5">
      <t>オウ</t>
    </rPh>
    <rPh sb="7" eb="9">
      <t>クブン</t>
    </rPh>
    <rPh sb="9" eb="10">
      <t>チ</t>
    </rPh>
    <phoneticPr fontId="0"/>
  </si>
  <si>
    <t>空</t>
    <rPh sb="0" eb="1">
      <t>カラ</t>
    </rPh>
    <phoneticPr fontId="0"/>
  </si>
  <si>
    <t>会員：顧客ID
ゲスト：空</t>
    <rPh sb="0" eb="2">
      <t>カイイン</t>
    </rPh>
    <rPh sb="3" eb="5">
      <t>コキャク</t>
    </rPh>
    <rPh sb="12" eb="13">
      <t>カラ</t>
    </rPh>
    <phoneticPr fontId="0"/>
  </si>
  <si>
    <t>※取得できれば
メールアドレス</t>
    <rPh sb="1" eb="3">
      <t>シュトク</t>
    </rPh>
    <phoneticPr fontId="0"/>
  </si>
  <si>
    <t>リファラURL※取得できれば</t>
    <rPh sb="8" eb="10">
      <t>シュトク</t>
    </rPh>
    <phoneticPr fontId="0"/>
  </si>
  <si>
    <t>WEBサーバーIPアドレス</t>
  </si>
  <si>
    <t>WEBサーバーサーバー名</t>
    <rPh sb="11" eb="12">
      <t>メイ</t>
    </rPh>
    <phoneticPr fontId="0"/>
  </si>
  <si>
    <t>reCAPTCHAレスポンス（res_success)</t>
  </si>
  <si>
    <t>reCAPTCHAレスポンス（res_challenge_ts)　※res_successがFALSEの場合は「空」</t>
    <rPh sb="52" eb="54">
      <t>バアイ</t>
    </rPh>
    <rPh sb="56" eb="57">
      <t>カラ</t>
    </rPh>
    <phoneticPr fontId="0"/>
  </si>
  <si>
    <t>reCAPTCHAレスポンス（res_hostname)　　※res_successがFALSEの場合は「空」</t>
  </si>
  <si>
    <t>reCAPTCHAレスポンス（res_score)　※res_successがFALSEの場合は「空」</t>
  </si>
  <si>
    <t>reCAPTCHAレスポンス（res_action)　　※res_successがFALSEの場合は「空」</t>
  </si>
  <si>
    <t>reCAPTCHAレスポンス（res_error_code)　　※res_successがFALSEの場合は「空」</t>
  </si>
  <si>
    <t>作成日時</t>
    <rPh sb="0" eb="2">
      <t>サクセイ</t>
    </rPh>
    <rPh sb="2" eb="4">
      <t>ニチジ</t>
    </rPh>
    <phoneticPr fontId="0"/>
  </si>
  <si>
    <t>更新日時</t>
    <rPh sb="0" eb="2">
      <t>コウシン</t>
    </rPh>
    <rPh sb="2" eb="4">
      <t>ニチジ</t>
    </rPh>
    <phoneticPr fontId="0"/>
  </si>
  <si>
    <t>「空」</t>
    <rPh sb="1" eb="2">
      <t>カラ</t>
    </rPh>
    <phoneticPr fontId="0"/>
  </si>
  <si>
    <t>SYSTEM</t>
    <phoneticPr fontId="2"/>
  </si>
  <si>
    <t>顧客登録</t>
    <rPh sb="0" eb="2">
      <t>コキャク</t>
    </rPh>
    <rPh sb="2" eb="4">
      <t>トウロク</t>
    </rPh>
    <phoneticPr fontId="0"/>
  </si>
  <si>
    <t>ログイン</t>
  </si>
  <si>
    <t>ゲストログイン</t>
  </si>
  <si>
    <t>リマインダー</t>
  </si>
  <si>
    <t>カード情報変更</t>
    <rPh sb="3" eb="5">
      <t>ジョウホウ</t>
    </rPh>
    <rPh sb="5" eb="7">
      <t>ヘンコウ</t>
    </rPh>
    <phoneticPr fontId="0"/>
  </si>
  <si>
    <t>注文フロー</t>
    <rPh sb="0" eb="2">
      <t>チュウモン</t>
    </rPh>
    <phoneticPr fontId="0"/>
  </si>
  <si>
    <t>認証ID</t>
  </si>
  <si>
    <t>会員種別</t>
  </si>
  <si>
    <t>member_type</t>
  </si>
  <si>
    <t>L(50)S[member,temporary,exit,mail]Eq</t>
  </si>
  <si>
    <t>顧客名</t>
  </si>
  <si>
    <t>name</t>
  </si>
  <si>
    <t>顧客属性</t>
  </si>
  <si>
    <t>crank</t>
  </si>
  <si>
    <t>AS会員種別</t>
  </si>
  <si>
    <t>as_member_type</t>
  </si>
  <si>
    <t>プロパティ1</t>
  </si>
  <si>
    <t>プロパティ2</t>
  </si>
  <si>
    <t>プロパティ3</t>
  </si>
  <si>
    <t>DGFTのアクセスログ</t>
  </si>
  <si>
    <t>AmazonPayアクセスログ</t>
  </si>
  <si>
    <t>シート作成</t>
    <rPh sb="3" eb="5">
      <t>サクセイ</t>
    </rPh>
    <phoneticPr fontId="2"/>
  </si>
  <si>
    <t>SO庄司</t>
    <rPh sb="2" eb="4">
      <t>ショウジ</t>
    </rPh>
    <phoneticPr fontId="2"/>
  </si>
  <si>
    <t>格納先DB名、文字コード、テーブル概要を追記</t>
    <rPh sb="0" eb="2">
      <t>カクノウ</t>
    </rPh>
    <rPh sb="2" eb="3">
      <t>サキ</t>
    </rPh>
    <rPh sb="5" eb="6">
      <t>メイ</t>
    </rPh>
    <rPh sb="7" eb="9">
      <t>モジ</t>
    </rPh>
    <rPh sb="17" eb="19">
      <t>ガイヨウ</t>
    </rPh>
    <rPh sb="20" eb="22">
      <t>ツイキ</t>
    </rPh>
    <phoneticPr fontId="2"/>
  </si>
  <si>
    <t>Firefox、Safari、iOS版Chromium系ブラウザについては既存通りの値をセット</t>
  </si>
  <si>
    <t>Windows,Max,Android等のChromium系ブラウザは不足(省略)あり。UA-CH情報を追加でセットする。</t>
  </si>
  <si>
    <t xml:space="preserve">ユーザーエージェント
Firefox、Safari、iOS版Chromium系ブラウザについては既存通りの値をセット
Windows,Max,Android等のChromium系ブラウザは不足(省略)あり。UA-CH情報を追加セットする。
</t>
    <rPh sb="29" eb="30">
      <t>バン</t>
    </rPh>
    <rPh sb="38" eb="39">
      <t>ケイ</t>
    </rPh>
    <rPh sb="48" eb="50">
      <t>キゾン</t>
    </rPh>
    <rPh sb="50" eb="51">
      <t>ドオ</t>
    </rPh>
    <rPh sb="53" eb="54">
      <t>アタイ</t>
    </rPh>
    <rPh sb="78" eb="79">
      <t>トウ</t>
    </rPh>
    <rPh sb="88" eb="89">
      <t>ケイ</t>
    </rPh>
    <rPh sb="108" eb="110">
      <t>ジョウホウ</t>
    </rPh>
    <rPh sb="111" eb="113">
      <t>ツイカ</t>
    </rPh>
    <phoneticPr fontId="2"/>
  </si>
  <si>
    <t>※最大長512文字のためサイズを256→512に拡張</t>
    <phoneticPr fontId="2"/>
  </si>
  <si>
    <t>Chromium系以外ブラウザ</t>
    <rPh sb="8" eb="9">
      <t>ケイ</t>
    </rPh>
    <rPh sb="9" eb="11">
      <t>イガイ</t>
    </rPh>
    <phoneticPr fontId="5"/>
  </si>
  <si>
    <t>Chromium系ブラウザ</t>
    <rPh sb="8" eb="9">
      <t>ケイ</t>
    </rPh>
    <phoneticPr fontId="5"/>
  </si>
  <si>
    <t>ログイン時のセッションID固定化に利用するワークテーブル</t>
    <rPh sb="4" eb="5">
      <t>ジ</t>
    </rPh>
    <rPh sb="13" eb="15">
      <t>コテイ</t>
    </rPh>
    <rPh sb="15" eb="16">
      <t>カ</t>
    </rPh>
    <rPh sb="17" eb="19">
      <t>リヨウ</t>
    </rPh>
    <phoneticPr fontId="2"/>
  </si>
  <si>
    <t>更新種別区分</t>
    <rPh sb="0" eb="2">
      <t>コウシン</t>
    </rPh>
    <rPh sb="2" eb="4">
      <t>シュベツ</t>
    </rPh>
    <rPh sb="4" eb="6">
      <t>クブン</t>
    </rPh>
    <phoneticPr fontId="16"/>
  </si>
  <si>
    <t>EC汎用索引コード</t>
    <rPh sb="2" eb="4">
      <t>ハンヨウ</t>
    </rPh>
    <rPh sb="4" eb="6">
      <t>サクイン</t>
    </rPh>
    <phoneticPr fontId="14"/>
  </si>
  <si>
    <t>EC汎用索引名称</t>
    <rPh sb="2" eb="4">
      <t>ハンヨウ</t>
    </rPh>
    <rPh sb="4" eb="6">
      <t>サクイン</t>
    </rPh>
    <rPh sb="6" eb="8">
      <t>メイショウ</t>
    </rPh>
    <phoneticPr fontId="14"/>
  </si>
  <si>
    <t>EC汎用内訳コード</t>
    <rPh sb="2" eb="4">
      <t>ハンヨウ</t>
    </rPh>
    <rPh sb="4" eb="6">
      <t>ウチワケ</t>
    </rPh>
    <phoneticPr fontId="14"/>
  </si>
  <si>
    <t>EC汎用内訳名称</t>
    <rPh sb="2" eb="4">
      <t>ハンヨウ</t>
    </rPh>
    <rPh sb="4" eb="6">
      <t>ウチワケ</t>
    </rPh>
    <rPh sb="6" eb="8">
      <t>メイショウ</t>
    </rPh>
    <phoneticPr fontId="14"/>
  </si>
  <si>
    <t>EC汎用文字列1</t>
    <rPh sb="2" eb="4">
      <t>ハンヨウ</t>
    </rPh>
    <rPh sb="4" eb="7">
      <t>モジレツ</t>
    </rPh>
    <phoneticPr fontId="14"/>
  </si>
  <si>
    <t>EC汎用文字列2</t>
    <rPh sb="2" eb="4">
      <t>ハンヨウ</t>
    </rPh>
    <rPh sb="4" eb="7">
      <t>モジレツ</t>
    </rPh>
    <phoneticPr fontId="14"/>
  </si>
  <si>
    <t>EC汎用文字列3</t>
    <rPh sb="2" eb="4">
      <t>ハンヨウ</t>
    </rPh>
    <rPh sb="4" eb="7">
      <t>モジレツ</t>
    </rPh>
    <phoneticPr fontId="14"/>
  </si>
  <si>
    <t>EC汎用文字列4</t>
    <rPh sb="2" eb="4">
      <t>ハンヨウ</t>
    </rPh>
    <rPh sb="4" eb="7">
      <t>モジレツ</t>
    </rPh>
    <phoneticPr fontId="14"/>
  </si>
  <si>
    <t>EC汎用文字列5</t>
    <rPh sb="2" eb="4">
      <t>ハンヨウ</t>
    </rPh>
    <rPh sb="4" eb="7">
      <t>モジレツ</t>
    </rPh>
    <phoneticPr fontId="14"/>
  </si>
  <si>
    <t>EC汎用文字列6</t>
    <rPh sb="2" eb="4">
      <t>ハンヨウ</t>
    </rPh>
    <rPh sb="4" eb="7">
      <t>モジレツ</t>
    </rPh>
    <phoneticPr fontId="14"/>
  </si>
  <si>
    <t>EC汎用文字列7</t>
    <rPh sb="2" eb="4">
      <t>ハンヨウ</t>
    </rPh>
    <rPh sb="4" eb="7">
      <t>モジレツ</t>
    </rPh>
    <phoneticPr fontId="14"/>
  </si>
  <si>
    <t>EC汎用文字列8</t>
    <rPh sb="2" eb="4">
      <t>ハンヨウ</t>
    </rPh>
    <rPh sb="4" eb="7">
      <t>モジレツ</t>
    </rPh>
    <phoneticPr fontId="14"/>
  </si>
  <si>
    <t>EC汎用文字列9</t>
    <rPh sb="2" eb="4">
      <t>ハンヨウ</t>
    </rPh>
    <rPh sb="4" eb="7">
      <t>モジレツ</t>
    </rPh>
    <phoneticPr fontId="14"/>
  </si>
  <si>
    <t>EC汎用文字列10</t>
    <rPh sb="2" eb="4">
      <t>ハンヨウ</t>
    </rPh>
    <rPh sb="4" eb="7">
      <t>モジレツ</t>
    </rPh>
    <phoneticPr fontId="14"/>
  </si>
  <si>
    <t>EC汎用数字1</t>
    <rPh sb="4" eb="6">
      <t>スウジ</t>
    </rPh>
    <phoneticPr fontId="14"/>
  </si>
  <si>
    <t>EC汎用数字2</t>
    <rPh sb="4" eb="6">
      <t>スウジ</t>
    </rPh>
    <phoneticPr fontId="14"/>
  </si>
  <si>
    <t>EC汎用数字3</t>
    <rPh sb="4" eb="6">
      <t>スウジ</t>
    </rPh>
    <phoneticPr fontId="14"/>
  </si>
  <si>
    <t>EC汎用数字4</t>
    <rPh sb="4" eb="6">
      <t>スウジ</t>
    </rPh>
    <phoneticPr fontId="14"/>
  </si>
  <si>
    <t>EC汎用数字5</t>
    <rPh sb="4" eb="6">
      <t>スウジ</t>
    </rPh>
    <phoneticPr fontId="14"/>
  </si>
  <si>
    <t>EC汎用数字6</t>
    <rPh sb="4" eb="6">
      <t>スウジ</t>
    </rPh>
    <phoneticPr fontId="14"/>
  </si>
  <si>
    <t>EC汎用数字7</t>
    <rPh sb="4" eb="6">
      <t>スウジ</t>
    </rPh>
    <phoneticPr fontId="14"/>
  </si>
  <si>
    <t>EC汎用数字8</t>
    <rPh sb="4" eb="6">
      <t>スウジ</t>
    </rPh>
    <phoneticPr fontId="14"/>
  </si>
  <si>
    <t>EC汎用数字9</t>
    <rPh sb="4" eb="6">
      <t>スウジ</t>
    </rPh>
    <phoneticPr fontId="14"/>
  </si>
  <si>
    <t>EC汎用数字10</t>
    <rPh sb="4" eb="6">
      <t>スウジ</t>
    </rPh>
    <phoneticPr fontId="14"/>
  </si>
  <si>
    <t>EC汎用日時1</t>
    <rPh sb="4" eb="6">
      <t>ニチジ</t>
    </rPh>
    <phoneticPr fontId="14"/>
  </si>
  <si>
    <t>EC汎用日時2</t>
    <rPh sb="4" eb="6">
      <t>ニチジ</t>
    </rPh>
    <phoneticPr fontId="14"/>
  </si>
  <si>
    <t>EC汎用日時3</t>
    <rPh sb="4" eb="6">
      <t>ニチジ</t>
    </rPh>
    <phoneticPr fontId="14"/>
  </si>
  <si>
    <t>EC汎用日時4</t>
    <rPh sb="4" eb="6">
      <t>ニチジ</t>
    </rPh>
    <phoneticPr fontId="14"/>
  </si>
  <si>
    <t>EC汎用日時5</t>
    <rPh sb="4" eb="6">
      <t>ニチジ</t>
    </rPh>
    <phoneticPr fontId="14"/>
  </si>
  <si>
    <t>EC汎用日時6</t>
    <rPh sb="4" eb="6">
      <t>ニチジ</t>
    </rPh>
    <phoneticPr fontId="14"/>
  </si>
  <si>
    <t>EC汎用日時7</t>
    <rPh sb="4" eb="6">
      <t>ニチジ</t>
    </rPh>
    <phoneticPr fontId="14"/>
  </si>
  <si>
    <t>EC汎用日時8</t>
    <rPh sb="4" eb="6">
      <t>ニチジ</t>
    </rPh>
    <phoneticPr fontId="14"/>
  </si>
  <si>
    <t>EC汎用日時9</t>
    <rPh sb="4" eb="6">
      <t>ニチジ</t>
    </rPh>
    <phoneticPr fontId="14"/>
  </si>
  <si>
    <t>EC汎用日時10</t>
    <rPh sb="4" eb="6">
      <t>ニチジ</t>
    </rPh>
    <phoneticPr fontId="14"/>
  </si>
  <si>
    <t>EC汎用タイミング1-1</t>
  </si>
  <si>
    <t>EC汎用タイミング1-2</t>
  </si>
  <si>
    <t>EC汎用タイミング1-3</t>
  </si>
  <si>
    <t>EC汎用タイミング2-1</t>
  </si>
  <si>
    <t>EC汎用タイミング2-2</t>
  </si>
  <si>
    <t>EC汎用タイミング2-3</t>
  </si>
  <si>
    <t>EC汎用予備</t>
    <rPh sb="2" eb="4">
      <t>ハンヨウ</t>
    </rPh>
    <rPh sb="4" eb="6">
      <t>ヨビ</t>
    </rPh>
    <phoneticPr fontId="5"/>
  </si>
  <si>
    <t>有効区分</t>
    <rPh sb="0" eb="2">
      <t>ユウコウ</t>
    </rPh>
    <rPh sb="2" eb="4">
      <t>クブン</t>
    </rPh>
    <phoneticPr fontId="5"/>
  </si>
  <si>
    <t>予備項目(区分1)</t>
  </si>
  <si>
    <t>予備項目(区分2)</t>
  </si>
  <si>
    <t>予備項目(区分3)</t>
  </si>
  <si>
    <t>予備項目(区分4)</t>
  </si>
  <si>
    <t>予備項目(区分5)</t>
  </si>
  <si>
    <t>予備項目(区分6)</t>
  </si>
  <si>
    <t>予備項目(区分7)</t>
  </si>
  <si>
    <t>予備項目(区分8)</t>
  </si>
  <si>
    <t>予備項目(区分9)</t>
  </si>
  <si>
    <t>予備項目(区分10)</t>
  </si>
  <si>
    <t>予備項目(文字1)</t>
  </si>
  <si>
    <t>予備項目(文字2)</t>
  </si>
  <si>
    <t>予備項目(文字3)</t>
  </si>
  <si>
    <t>予備項目(文字4)</t>
  </si>
  <si>
    <t>予備項目(文字5)</t>
  </si>
  <si>
    <t>予備項目(文字6)</t>
  </si>
  <si>
    <t>予備項目(文字7)</t>
  </si>
  <si>
    <t>予備項目(文字8)</t>
  </si>
  <si>
    <t>予備項目(文字9)</t>
  </si>
  <si>
    <t>予備項目(文字10)</t>
  </si>
  <si>
    <t>予備項目(数値1)</t>
  </si>
  <si>
    <t>予備項目(数値2)</t>
  </si>
  <si>
    <t>予備項目(数値3)</t>
  </si>
  <si>
    <t>予備項目(数値4)</t>
  </si>
  <si>
    <t>予備項目(数値5)</t>
  </si>
  <si>
    <t>予備項目(数値6)</t>
  </si>
  <si>
    <t>予備項目(数値7)</t>
  </si>
  <si>
    <t>予備項目(数値8)</t>
  </si>
  <si>
    <t>予備項目(数値9)</t>
  </si>
  <si>
    <t>予備項目(数値10)</t>
  </si>
  <si>
    <t>1：登録(※変更含)
3：削除</t>
    <phoneticPr fontId="2"/>
  </si>
  <si>
    <t>ﾕﾆｰｸKEY</t>
  </si>
  <si>
    <t>0:無効
1:有効</t>
    <rPh sb="2" eb="4">
      <t>ムコウ</t>
    </rPh>
    <rPh sb="7" eb="9">
      <t>ユウコウ</t>
    </rPh>
    <phoneticPr fontId="13"/>
  </si>
  <si>
    <t>富士通作成資料から内容を反映。未確定部分あり</t>
    <rPh sb="0" eb="3">
      <t>フジツウ</t>
    </rPh>
    <rPh sb="3" eb="5">
      <t>サクセイ</t>
    </rPh>
    <rPh sb="5" eb="7">
      <t>シリョウ</t>
    </rPh>
    <rPh sb="9" eb="11">
      <t>ナイヨウ</t>
    </rPh>
    <rPh sb="12" eb="14">
      <t>ハンエイ</t>
    </rPh>
    <rPh sb="15" eb="18">
      <t>ミカクテイ</t>
    </rPh>
    <rPh sb="18" eb="20">
      <t>ブブン</t>
    </rPh>
    <phoneticPr fontId="2"/>
  </si>
  <si>
    <t>0L(1)Eq</t>
    <phoneticPr fontId="2"/>
  </si>
  <si>
    <t>L(4)Eq</t>
    <phoneticPr fontId="2"/>
  </si>
  <si>
    <t>L(200)Eq</t>
    <phoneticPr fontId="2"/>
  </si>
  <si>
    <t>L(14)Eq</t>
    <phoneticPr fontId="2"/>
  </si>
  <si>
    <t>整数部11桁、小数部3桁</t>
    <rPh sb="0" eb="2">
      <t>セイスウ</t>
    </rPh>
    <rPh sb="2" eb="3">
      <t>ブ</t>
    </rPh>
    <rPh sb="5" eb="6">
      <t>ケタ</t>
    </rPh>
    <rPh sb="7" eb="9">
      <t>ショウスウ</t>
    </rPh>
    <rPh sb="9" eb="10">
      <t>ブ</t>
    </rPh>
    <rPh sb="11" eb="12">
      <t>ケタ</t>
    </rPh>
    <phoneticPr fontId="2"/>
  </si>
  <si>
    <t>yyyymmddhhmiss形式</t>
    <rPh sb="14" eb="16">
      <t>ケイシキ</t>
    </rPh>
    <phoneticPr fontId="2"/>
  </si>
  <si>
    <t>L(15)Eq</t>
    <phoneticPr fontId="2"/>
  </si>
  <si>
    <t>L(9)Eq</t>
    <phoneticPr fontId="2"/>
  </si>
  <si>
    <t>-12345678901.123 が想定最大文字数？
データ内容に符号や小数点を含まない場合は14バイトに変更する。</t>
    <rPh sb="21" eb="22">
      <t>ダイ</t>
    </rPh>
    <rPh sb="22" eb="25">
      <t>モジスウ</t>
    </rPh>
    <rPh sb="30" eb="32">
      <t>ナイヨウ</t>
    </rPh>
    <rPh sb="33" eb="35">
      <t>フゴウ</t>
    </rPh>
    <rPh sb="36" eb="39">
      <t>ショウスウテン</t>
    </rPh>
    <rPh sb="40" eb="41">
      <t>フク</t>
    </rPh>
    <rPh sb="44" eb="46">
      <t>バアイ</t>
    </rPh>
    <rPh sb="53" eb="55">
      <t>ヘンコウ</t>
    </rPh>
    <phoneticPr fontId="2"/>
  </si>
  <si>
    <t>コンテンツ管理</t>
    <phoneticPr fontId="2"/>
  </si>
  <si>
    <t>property_text_1のトピックスの説明欄に説明を記載</t>
    <rPh sb="22" eb="24">
      <t>セツメイ</t>
    </rPh>
    <rPh sb="24" eb="25">
      <t>ラン</t>
    </rPh>
    <rPh sb="26" eb="28">
      <t>セツメイ</t>
    </rPh>
    <rPh sb="29" eb="31">
      <t>キサイ</t>
    </rPh>
    <phoneticPr fontId="2"/>
  </si>
  <si>
    <t>header_tagsの型についてnvarchar(255)→varhcar(1024)に変更</t>
    <rPh sb="12" eb="13">
      <t>カタ</t>
    </rPh>
    <rPh sb="45" eb="47">
      <t>ヘンコウ</t>
    </rPh>
    <phoneticPr fontId="2"/>
  </si>
  <si>
    <r>
      <t xml:space="preserve">テーブル名(日本語) </t>
    </r>
    <r>
      <rPr>
        <b/>
        <sz val="8"/>
        <color theme="0"/>
        <rFont val="Meiryo UI"/>
        <family val="3"/>
        <charset val="128"/>
      </rPr>
      <t>※テーブル定義シートのリンクを張ること</t>
    </r>
    <rPh sb="4" eb="5">
      <t>メイ</t>
    </rPh>
    <rPh sb="6" eb="9">
      <t>ニホンゴ</t>
    </rPh>
    <rPh sb="16" eb="18">
      <t>テイギ</t>
    </rPh>
    <rPh sb="26" eb="27">
      <t>ハ</t>
    </rPh>
    <phoneticPr fontId="2"/>
  </si>
  <si>
    <r>
      <t>店舗コードに対応する店舗情報を保持sるうマスタテーブル(バックエンドから連携される)　</t>
    </r>
    <r>
      <rPr>
        <sz val="11"/>
        <color rgb="FFFF0000"/>
        <rFont val="Meiryo UI"/>
        <family val="3"/>
        <charset val="128"/>
      </rPr>
      <t>※backlog課題SOFMAP_EC_GEN5-76 にて 2023/10/13に提示された資料「UI_03-02.外部IF定義(FL-01-59-02_EC店舗マスタ)_20231013.xlsx」 より作成。オレンジ色背景のフィールドが取込データ。白背景はサテライト側で作成。空で連携される項目を想定しNULLチェックはしない想定。</t>
    </r>
    <rPh sb="0" eb="2">
      <t>テンポ</t>
    </rPh>
    <rPh sb="6" eb="8">
      <t>タイオウ</t>
    </rPh>
    <rPh sb="10" eb="12">
      <t>テンポ</t>
    </rPh>
    <rPh sb="12" eb="14">
      <t>ジョウホウ</t>
    </rPh>
    <rPh sb="15" eb="17">
      <t>ホジ</t>
    </rPh>
    <rPh sb="36" eb="38">
      <t>レンケイ</t>
    </rPh>
    <rPh sb="51" eb="53">
      <t>カダイ</t>
    </rPh>
    <rPh sb="85" eb="87">
      <t>テイジ</t>
    </rPh>
    <rPh sb="90" eb="92">
      <t>シリョウ</t>
    </rPh>
    <rPh sb="147" eb="149">
      <t>サクセイ</t>
    </rPh>
    <rPh sb="154" eb="155">
      <t>イロ</t>
    </rPh>
    <rPh sb="155" eb="157">
      <t>ハイケイ</t>
    </rPh>
    <rPh sb="164" eb="166">
      <t>トリコミ</t>
    </rPh>
    <rPh sb="170" eb="171">
      <t>シロ</t>
    </rPh>
    <rPh sb="171" eb="173">
      <t>ハイケイ</t>
    </rPh>
    <rPh sb="179" eb="180">
      <t>ガワ</t>
    </rPh>
    <rPh sb="181" eb="183">
      <t>サクセイ</t>
    </rPh>
    <rPh sb="184" eb="185">
      <t>カラ</t>
    </rPh>
    <rPh sb="186" eb="188">
      <t>レンケイ</t>
    </rPh>
    <rPh sb="191" eb="193">
      <t>コウモク</t>
    </rPh>
    <rPh sb="194" eb="196">
      <t>ソウテイ</t>
    </rPh>
    <rPh sb="209" eb="211">
      <t>ソウテイ</t>
    </rPh>
    <phoneticPr fontId="2"/>
  </si>
  <si>
    <t>店舗コード</t>
  </si>
  <si>
    <t>店舗名</t>
  </si>
  <si>
    <t>店舗略称</t>
  </si>
  <si>
    <t>法人コード</t>
  </si>
  <si>
    <t>法人名</t>
  </si>
  <si>
    <t>郵便番号</t>
  </si>
  <si>
    <t>店舗住所名</t>
  </si>
  <si>
    <t>店舗番地名</t>
  </si>
  <si>
    <t>店舗建物名</t>
  </si>
  <si>
    <t>店舗電話番号</t>
  </si>
  <si>
    <t>地区コード</t>
  </si>
  <si>
    <t>地区名</t>
  </si>
  <si>
    <t>表示順</t>
  </si>
  <si>
    <t>サイト表示店舗名</t>
  </si>
  <si>
    <t>サイト表示郵便番号</t>
  </si>
  <si>
    <t>サイト表示都道府県コード</t>
  </si>
  <si>
    <t>サイト表示都道府県</t>
  </si>
  <si>
    <t>サイト表示住所2</t>
  </si>
  <si>
    <t>サイト表示住所3</t>
  </si>
  <si>
    <t>サイト表示電話番号1</t>
  </si>
  <si>
    <t>サイト表示電話番号2</t>
  </si>
  <si>
    <t>店舗ページURL1</t>
  </si>
  <si>
    <t>店舗ページURL2</t>
  </si>
  <si>
    <t>緯度</t>
  </si>
  <si>
    <t>経度</t>
  </si>
  <si>
    <t>店舗営業時間コメント</t>
  </si>
  <si>
    <t>店舗定休日コメント</t>
  </si>
  <si>
    <t>営業店舗フラグ</t>
  </si>
  <si>
    <t>出荷拠点エリア</t>
  </si>
  <si>
    <t>引当ランク</t>
  </si>
  <si>
    <t>地方出荷フラグ</t>
  </si>
  <si>
    <t>センター振替出荷可否フラグ</t>
  </si>
  <si>
    <t>店舗出荷可否フラグ</t>
  </si>
  <si>
    <t>店舗受渡可否フラグ</t>
  </si>
  <si>
    <t>店舗取置可否フラグ</t>
  </si>
  <si>
    <t>店舗営業開店時刻</t>
  </si>
  <si>
    <t>店舗営業閉店時刻</t>
  </si>
  <si>
    <t>店舗対応可能開始時刻</t>
  </si>
  <si>
    <t>店舗対応可能終了時刻</t>
  </si>
  <si>
    <t>店舗ピッキング開始時刻</t>
  </si>
  <si>
    <t>店舗ピッキング終了時刻</t>
  </si>
  <si>
    <t>店舗ピッキング期限(分)</t>
  </si>
  <si>
    <t>店舗ピッキング期限日数</t>
  </si>
  <si>
    <t>店舗取置期限日数</t>
  </si>
  <si>
    <t>店舗アクセス情報(駐車場)</t>
  </si>
  <si>
    <t>店舗アクセス情報(無料駐車場)</t>
  </si>
  <si>
    <t>店舗アクセス情報(エレベーター)</t>
  </si>
  <si>
    <t>店舗アクセス情報(カウンター1F)</t>
  </si>
  <si>
    <t>店舗アクセス情報(駅チカ)</t>
  </si>
  <si>
    <t>最寄り駅名</t>
  </si>
  <si>
    <t>予約サイトコメント</t>
  </si>
  <si>
    <t>Push通知コメント</t>
  </si>
  <si>
    <t>整数部2桁、小数部6桁</t>
    <rPh sb="0" eb="3">
      <t>セイスウブ</t>
    </rPh>
    <rPh sb="4" eb="5">
      <t>ケタ</t>
    </rPh>
    <rPh sb="6" eb="9">
      <t>ショウスウブ</t>
    </rPh>
    <rPh sb="10" eb="11">
      <t>ケタ</t>
    </rPh>
    <phoneticPr fontId="2"/>
  </si>
  <si>
    <t>整数部3桁、小数部6桁</t>
    <rPh sb="0" eb="3">
      <t>セイスウブ</t>
    </rPh>
    <rPh sb="4" eb="5">
      <t>ケタ</t>
    </rPh>
    <rPh sb="6" eb="9">
      <t>ショウスウブ</t>
    </rPh>
    <rPh sb="10" eb="11">
      <t>ケタ</t>
    </rPh>
    <phoneticPr fontId="2"/>
  </si>
  <si>
    <t>L(11)Eq</t>
    <phoneticPr fontId="2"/>
  </si>
  <si>
    <t>最大桁数：-90.000000</t>
    <rPh sb="0" eb="4">
      <t>サイダイケタスウ</t>
    </rPh>
    <phoneticPr fontId="2"/>
  </si>
  <si>
    <t>最大桁数：-180.000000</t>
    <rPh sb="0" eb="4">
      <t>サイダイケタスウ</t>
    </rPh>
    <phoneticPr fontId="2"/>
  </si>
  <si>
    <t>0L(9)Eq</t>
    <phoneticPr fontId="2"/>
  </si>
  <si>
    <t>L(7)Eq</t>
  </si>
  <si>
    <t>L(500)Eq</t>
  </si>
  <si>
    <t>01:北海道、02:東北、03:北関東、04:南関東、05:中部、06:関西、07:中国四国、08:九州、09:沖縄</t>
    <phoneticPr fontId="2"/>
  </si>
  <si>
    <t>'000000'形式</t>
    <phoneticPr fontId="2"/>
  </si>
  <si>
    <t>0：営業営業店舗以外、1：営業店舗</t>
    <phoneticPr fontId="2"/>
  </si>
  <si>
    <t>0：在庫場所から出荷、1：地方拠点から出荷</t>
  </si>
  <si>
    <t>0：利用不可、1：利用可能</t>
  </si>
  <si>
    <t>HHMI</t>
  </si>
  <si>
    <t>※分指定</t>
  </si>
  <si>
    <t>※日数指定</t>
  </si>
  <si>
    <t>01：駐車場あり</t>
  </si>
  <si>
    <t>01：無料駐車場あり</t>
  </si>
  <si>
    <t>01：エレベーターあり</t>
  </si>
  <si>
    <t>01：カウンター1F設置</t>
  </si>
  <si>
    <t>01：駅チカ店舗</t>
  </si>
  <si>
    <t>EC店舗マスタ</t>
    <rPh sb="2" eb="4">
      <t>テンポ</t>
    </rPh>
    <phoneticPr fontId="2"/>
  </si>
  <si>
    <t>uc_shop_master</t>
    <phoneticPr fontId="2"/>
  </si>
  <si>
    <t>119_crm1</t>
    <phoneticPr fontId="2"/>
  </si>
  <si>
    <t>無</t>
    <rPh sb="0" eb="1">
      <t>ナシ</t>
    </rPh>
    <phoneticPr fontId="2"/>
  </si>
  <si>
    <t>SO関</t>
    <rPh sb="2" eb="3">
      <t>セキ</t>
    </rPh>
    <phoneticPr fontId="2"/>
  </si>
  <si>
    <t>PK_uc_shop_master</t>
    <phoneticPr fontId="2"/>
  </si>
  <si>
    <t>shop_code</t>
    <phoneticPr fontId="2"/>
  </si>
  <si>
    <t>shop_name</t>
    <phoneticPr fontId="2"/>
  </si>
  <si>
    <t>shop_name_abr</t>
  </si>
  <si>
    <t>shop_url_1</t>
  </si>
  <si>
    <t>shop_url_2</t>
  </si>
  <si>
    <t>longitude</t>
  </si>
  <si>
    <t>latitude</t>
  </si>
  <si>
    <t>corp_code</t>
    <phoneticPr fontId="2"/>
  </si>
  <si>
    <t>corp_name</t>
    <phoneticPr fontId="2"/>
  </si>
  <si>
    <t>zip_code</t>
    <phoneticPr fontId="2"/>
  </si>
  <si>
    <t>address_0</t>
    <phoneticPr fontId="2"/>
  </si>
  <si>
    <t>address_1</t>
    <phoneticPr fontId="2"/>
  </si>
  <si>
    <t>address_2</t>
    <phoneticPr fontId="2"/>
  </si>
  <si>
    <t>telno</t>
    <phoneticPr fontId="2"/>
  </si>
  <si>
    <t>site_telno_1</t>
    <phoneticPr fontId="2"/>
  </si>
  <si>
    <t>site_telno_2</t>
    <phoneticPr fontId="2"/>
  </si>
  <si>
    <t>site_shop_name</t>
    <phoneticPr fontId="2"/>
  </si>
  <si>
    <t>site_zip_code</t>
    <phoneticPr fontId="2"/>
  </si>
  <si>
    <t>site_address_code</t>
    <phoneticPr fontId="2"/>
  </si>
  <si>
    <t>site_address_0</t>
    <phoneticPr fontId="2"/>
  </si>
  <si>
    <t>site_address_2</t>
    <phoneticPr fontId="2"/>
  </si>
  <si>
    <t>site_address_1</t>
    <phoneticPr fontId="2"/>
  </si>
  <si>
    <t>area_code</t>
    <phoneticPr fontId="2"/>
  </si>
  <si>
    <t>area_name</t>
    <phoneticPr fontId="2"/>
  </si>
  <si>
    <t>sort</t>
    <phoneticPr fontId="2"/>
  </si>
  <si>
    <t>work_time_comment</t>
    <phoneticPr fontId="2"/>
  </si>
  <si>
    <t>regular_holiday_comment</t>
    <phoneticPr fontId="2"/>
  </si>
  <si>
    <t>shop_bussiness_flg</t>
    <phoneticPr fontId="2"/>
  </si>
  <si>
    <t>shipping_base_area</t>
    <phoneticPr fontId="2"/>
  </si>
  <si>
    <t>reserve_rank</t>
    <phoneticPr fontId="2"/>
  </si>
  <si>
    <t>local_shipping_flg</t>
    <phoneticPr fontId="2"/>
  </si>
  <si>
    <t>center_shipping_flg</t>
    <phoneticPr fontId="2"/>
  </si>
  <si>
    <t>shop_shipment_flg</t>
    <phoneticPr fontId="2"/>
  </si>
  <si>
    <t>shop_pickup_flg</t>
    <phoneticPr fontId="2"/>
  </si>
  <si>
    <t>shop_reserve_flg</t>
    <phoneticPr fontId="2"/>
  </si>
  <si>
    <t>shop_work_time_from</t>
    <phoneticPr fontId="2"/>
  </si>
  <si>
    <t>shop_work_time_to</t>
    <phoneticPr fontId="2"/>
  </si>
  <si>
    <t>shop_compatible_time_from</t>
    <phoneticPr fontId="2"/>
  </si>
  <si>
    <t>shop_compatible_time_to</t>
    <phoneticPr fontId="2"/>
  </si>
  <si>
    <t>shop_picking_from</t>
    <phoneticPr fontId="2"/>
  </si>
  <si>
    <t>shop_picking_to</t>
    <phoneticPr fontId="2"/>
  </si>
  <si>
    <t>shop_picking_limit_time</t>
    <phoneticPr fontId="2"/>
  </si>
  <si>
    <t>shop_picking_limit_date</t>
    <phoneticPr fontId="2"/>
  </si>
  <si>
    <t>shop_reserve_limit_date</t>
    <phoneticPr fontId="2"/>
  </si>
  <si>
    <t>is_parking_free</t>
  </si>
  <si>
    <t>is_elevator</t>
  </si>
  <si>
    <t>is_elevator_1_floor</t>
  </si>
  <si>
    <t>is_near_station</t>
    <phoneticPr fontId="2"/>
  </si>
  <si>
    <t>nearest_station_name</t>
    <phoneticPr fontId="2"/>
  </si>
  <si>
    <t>reversation_site_comment</t>
    <phoneticPr fontId="2"/>
  </si>
  <si>
    <t>push_comment</t>
    <phoneticPr fontId="2"/>
  </si>
  <si>
    <t>type_1</t>
    <phoneticPr fontId="2"/>
  </si>
  <si>
    <t>type_2</t>
  </si>
  <si>
    <t>type_3</t>
  </si>
  <si>
    <t>type_4</t>
  </si>
  <si>
    <t>type_5</t>
  </si>
  <si>
    <t>type_6</t>
  </si>
  <si>
    <t>type_7</t>
  </si>
  <si>
    <t>type_8</t>
  </si>
  <si>
    <t>type_9</t>
  </si>
  <si>
    <t>type_10</t>
  </si>
  <si>
    <t>param_1</t>
    <phoneticPr fontId="2"/>
  </si>
  <si>
    <t>param_9</t>
  </si>
  <si>
    <t>param_2</t>
  </si>
  <si>
    <t>param_3</t>
  </si>
  <si>
    <t>param_4</t>
  </si>
  <si>
    <t>param_5</t>
  </si>
  <si>
    <t>param_6</t>
  </si>
  <si>
    <t>param_7</t>
  </si>
  <si>
    <t>param_8</t>
  </si>
  <si>
    <t>param_10</t>
  </si>
  <si>
    <t>number_1</t>
    <phoneticPr fontId="2"/>
  </si>
  <si>
    <t>number_2</t>
  </si>
  <si>
    <t>number_3</t>
  </si>
  <si>
    <t>number_4</t>
  </si>
  <si>
    <t>number_5</t>
  </si>
  <si>
    <t>number_6</t>
  </si>
  <si>
    <t>number_7</t>
  </si>
  <si>
    <t>number_8</t>
  </si>
  <si>
    <t>number_9</t>
  </si>
  <si>
    <t>number_10</t>
  </si>
  <si>
    <t>○</t>
    <phoneticPr fontId="2"/>
  </si>
  <si>
    <t>is_parking</t>
    <phoneticPr fontId="2"/>
  </si>
  <si>
    <t>有効区分</t>
    <rPh sb="0" eb="2">
      <t>ユウコウ</t>
    </rPh>
    <rPh sb="2" eb="4">
      <t>クブン</t>
    </rPh>
    <phoneticPr fontId="2"/>
  </si>
  <si>
    <t>active_flag</t>
    <phoneticPr fontId="2"/>
  </si>
  <si>
    <t>(未使用パターン)</t>
    <rPh sb="1" eb="4">
      <t>ミシヨウ</t>
    </rPh>
    <phoneticPr fontId="5"/>
  </si>
  <si>
    <t>不要</t>
    <rPh sb="0" eb="2">
      <t>フヨウ</t>
    </rPh>
    <phoneticPr fontId="2"/>
  </si>
  <si>
    <t>必須</t>
    <rPh sb="0" eb="2">
      <t>ヒッス</t>
    </rPh>
    <phoneticPr fontId="2"/>
  </si>
  <si>
    <t>CONTENTS
PAGES
HOUJIN
TENPO
から選択</t>
    <rPh sb="30" eb="32">
      <t>センタク</t>
    </rPh>
    <phoneticPr fontId="2"/>
  </si>
  <si>
    <t>数値を設定。
大きい程優先される</t>
    <phoneticPr fontId="2"/>
  </si>
  <si>
    <t>ジャンルレコメンド：レコメンドタイプ
SKU⇒SKU指定 
FREE⇒フリーコンテンツ</t>
    <phoneticPr fontId="2"/>
  </si>
  <si>
    <t>ACTIVE：有効
INACTIVE：無効</t>
    <rPh sb="7" eb="9">
      <t>ユウコウ</t>
    </rPh>
    <rPh sb="19" eb="21">
      <t>ムコウ</t>
    </rPh>
    <phoneticPr fontId="2"/>
  </si>
  <si>
    <t>L(10)S[ACTIVE,INACTIVE]Eq</t>
    <phoneticPr fontId="2"/>
  </si>
  <si>
    <r>
      <t xml:space="preserve">表示するフロー（購入・会員登録など）
[会員登録]NEW/EDIT/UPGRADE
[購入フロー]MEMBER/GUEST
[場所による]B2E区分
s0000000：会員専用
</t>
    </r>
    <r>
      <rPr>
        <strike/>
        <sz val="9"/>
        <color rgb="FFFF0000"/>
        <rFont val="ＭＳ Ｐゴシック"/>
        <family val="3"/>
        <charset val="128"/>
      </rPr>
      <t>s0000001:COOP専用
s0000013:KM専用
s0000027:JID専用</t>
    </r>
    <phoneticPr fontId="2"/>
  </si>
  <si>
    <r>
      <t xml:space="preserve">会員専用トピックスフラグ
(Empty)：通常
MEMBER：会員専用
</t>
    </r>
    <r>
      <rPr>
        <strike/>
        <sz val="9"/>
        <color rgb="FFFF0000"/>
        <rFont val="ＭＳ Ｐゴシック"/>
        <family val="3"/>
        <charset val="128"/>
      </rPr>
      <t>s0000001:COOP専用
s0000013:KM専用
s0000027:JID専用</t>
    </r>
    <phoneticPr fontId="2"/>
  </si>
  <si>
    <t>コンテンツ管理、コンテンツ管理履歴</t>
    <rPh sb="13" eb="15">
      <t>カンリ</t>
    </rPh>
    <rPh sb="15" eb="17">
      <t>リレキ</t>
    </rPh>
    <phoneticPr fontId="2"/>
  </si>
  <si>
    <t>header_tagsの型についてvarhcar(max)に変更</t>
    <rPh sb="12" eb="13">
      <t>カタ</t>
    </rPh>
    <rPh sb="30" eb="32">
      <t>ヘンコウ</t>
    </rPh>
    <phoneticPr fontId="2"/>
  </si>
  <si>
    <t>ACTIVE：有効は閲覧可
OTHER：有効以外は閲覧可</t>
    <rPh sb="7" eb="9">
      <t>ユウコウ</t>
    </rPh>
    <rPh sb="10" eb="12">
      <t>エツラン</t>
    </rPh>
    <rPh sb="12" eb="13">
      <t>カ</t>
    </rPh>
    <rPh sb="20" eb="22">
      <t>ユウコウ</t>
    </rPh>
    <rPh sb="22" eb="24">
      <t>イガイ</t>
    </rPh>
    <rPh sb="25" eb="27">
      <t>エツラン</t>
    </rPh>
    <rPh sb="27" eb="28">
      <t>カ</t>
    </rPh>
    <phoneticPr fontId="2"/>
  </si>
  <si>
    <t>GUEST：ゲストまたは、一般会員(EC紐付け無）は閲覧可
EC：EC会員は閲覧可
CLUB_S_NC：ノンクレ会員は閲覧可
CLUB_S_C：クレ会員は閲覧可</t>
    <rPh sb="13" eb="15">
      <t>イッパン</t>
    </rPh>
    <rPh sb="15" eb="17">
      <t>カイイン</t>
    </rPh>
    <rPh sb="20" eb="21">
      <t>ヒモ</t>
    </rPh>
    <rPh sb="21" eb="22">
      <t>ツ</t>
    </rPh>
    <rPh sb="23" eb="24">
      <t>ナ</t>
    </rPh>
    <rPh sb="26" eb="28">
      <t>エツラン</t>
    </rPh>
    <rPh sb="28" eb="29">
      <t>カ</t>
    </rPh>
    <rPh sb="35" eb="37">
      <t>カイイン</t>
    </rPh>
    <rPh sb="38" eb="40">
      <t>エツラン</t>
    </rPh>
    <rPh sb="40" eb="41">
      <t>カ</t>
    </rPh>
    <rPh sb="56" eb="58">
      <t>カイイン</t>
    </rPh>
    <rPh sb="59" eb="61">
      <t>エツラン</t>
    </rPh>
    <rPh sb="61" eb="62">
      <t>カ</t>
    </rPh>
    <rPh sb="64" eb="66">
      <t>カイイン</t>
    </rPh>
    <rPh sb="74" eb="76">
      <t>カイイン</t>
    </rPh>
    <rPh sb="77" eb="79">
      <t>エツラン</t>
    </rPh>
    <rPh sb="79" eb="80">
      <t>カ</t>
    </rPh>
    <phoneticPr fontId="2"/>
  </si>
  <si>
    <t>ソフマップ月額課金区分
月額課金区分に応じてコンテンツの閲覧可否を指定。
カンマ区切りで複数値を設定する。</t>
    <rPh sb="5" eb="7">
      <t>ゲツガク</t>
    </rPh>
    <rPh sb="7" eb="9">
      <t>カキン</t>
    </rPh>
    <rPh sb="9" eb="11">
      <t>クブン</t>
    </rPh>
    <phoneticPr fontId="2"/>
  </si>
  <si>
    <t>会員区分の説明追記と月額課金区分の追加</t>
    <rPh sb="0" eb="2">
      <t>カイイン</t>
    </rPh>
    <rPh sb="2" eb="4">
      <t>クブン</t>
    </rPh>
    <rPh sb="5" eb="7">
      <t>セツメイ</t>
    </rPh>
    <rPh sb="7" eb="9">
      <t>ツイキ</t>
    </rPh>
    <rPh sb="10" eb="12">
      <t>ゲツガク</t>
    </rPh>
    <rPh sb="12" eb="14">
      <t>カキン</t>
    </rPh>
    <rPh sb="14" eb="16">
      <t>クブン</t>
    </rPh>
    <rPh sb="17" eb="19">
      <t>ツイカ</t>
    </rPh>
    <phoneticPr fontId="2"/>
  </si>
  <si>
    <t>ログタイプの区分にSCRIPTを追加</t>
    <rPh sb="6" eb="8">
      <t>クブン</t>
    </rPh>
    <rPh sb="16" eb="18">
      <t>ツイカ</t>
    </rPh>
    <phoneticPr fontId="2"/>
  </si>
  <si>
    <t>01,02,03・・・・など</t>
    <phoneticPr fontId="2"/>
  </si>
  <si>
    <t>処理状況</t>
    <rPh sb="0" eb="2">
      <t>ショリ</t>
    </rPh>
    <rPh sb="2" eb="4">
      <t>ジョウキョウ</t>
    </rPh>
    <phoneticPr fontId="2"/>
  </si>
  <si>
    <t>process_status</t>
    <phoneticPr fontId="2"/>
  </si>
  <si>
    <t>01：APIコール直前
02：APIコール直後</t>
    <rPh sb="8" eb="10">
      <t>チョクゼン</t>
    </rPh>
    <rPh sb="20" eb="22">
      <t>チョクゴ</t>
    </rPh>
    <phoneticPr fontId="2"/>
  </si>
  <si>
    <t>リクエストXML</t>
    <phoneticPr fontId="2"/>
  </si>
  <si>
    <t>レスポンスXML</t>
    <phoneticPr fontId="2"/>
  </si>
  <si>
    <t>request_xml</t>
    <phoneticPr fontId="2"/>
  </si>
  <si>
    <t>response_xml</t>
    <phoneticPr fontId="2"/>
  </si>
  <si>
    <t>varchar</t>
    <phoneticPr fontId="2"/>
  </si>
  <si>
    <t>API-01-09-01
API-02-04-02
のようにAPIのIDのみを入れる想定</t>
    <rPh sb="39" eb="40">
      <t>イ</t>
    </rPh>
    <rPh sb="42" eb="44">
      <t>ソウテイ</t>
    </rPh>
    <phoneticPr fontId="2"/>
  </si>
  <si>
    <t>s0000000固定</t>
    <rPh sb="8" eb="10">
      <t>コテイ</t>
    </rPh>
    <phoneticPr fontId="2"/>
  </si>
  <si>
    <t>ログ出力するタイミングがAPI実行前か後か</t>
    <rPh sb="2" eb="4">
      <t>シュツリョク</t>
    </rPh>
    <rPh sb="15" eb="17">
      <t>ジッコウ</t>
    </rPh>
    <rPh sb="17" eb="18">
      <t>マエ</t>
    </rPh>
    <rPh sb="19" eb="20">
      <t>アト</t>
    </rPh>
    <phoneticPr fontId="2"/>
  </si>
  <si>
    <t>レスポンスで受け取るXML(文字列)をテキストにして保存する</t>
    <rPh sb="6" eb="7">
      <t>ウ</t>
    </rPh>
    <rPh sb="8" eb="9">
      <t>ト</t>
    </rPh>
    <rPh sb="14" eb="17">
      <t>モジレツ</t>
    </rPh>
    <rPh sb="26" eb="28">
      <t>ホゾン</t>
    </rPh>
    <phoneticPr fontId="2"/>
  </si>
  <si>
    <t>APIレスポンスの「返却ステータス」を格納</t>
    <rPh sb="10" eb="12">
      <t>ヘンキャク</t>
    </rPh>
    <rPh sb="19" eb="21">
      <t>カクノウ</t>
    </rPh>
    <phoneticPr fontId="2"/>
  </si>
  <si>
    <r>
      <t>L(</t>
    </r>
    <r>
      <rPr>
        <sz val="9"/>
        <color rgb="FFFF0000"/>
        <rFont val="Meiryo UI"/>
        <family val="3"/>
        <charset val="128"/>
      </rPr>
      <t>512</t>
    </r>
    <r>
      <rPr>
        <sz val="9"/>
        <color theme="1"/>
        <rFont val="Meiryo UI"/>
        <family val="3"/>
        <charset val="128"/>
      </rPr>
      <t>)Eq</t>
    </r>
    <phoneticPr fontId="2"/>
  </si>
  <si>
    <r>
      <t>L(</t>
    </r>
    <r>
      <rPr>
        <sz val="9"/>
        <color rgb="FFFF0000"/>
        <rFont val="Meiryo UI"/>
        <family val="3"/>
        <charset val="128"/>
      </rPr>
      <t>10</t>
    </r>
    <r>
      <rPr>
        <sz val="9"/>
        <color theme="1"/>
        <rFont val="Meiryo UI"/>
        <family val="3"/>
        <charset val="128"/>
      </rPr>
      <t>)Eq</t>
    </r>
    <phoneticPr fontId="2"/>
  </si>
  <si>
    <t>リクエストで引き渡すXMLをテキスト化して保存する</t>
    <rPh sb="6" eb="7">
      <t>ヒ</t>
    </rPh>
    <rPh sb="8" eb="9">
      <t>ワタ</t>
    </rPh>
    <rPh sb="18" eb="19">
      <t>カ</t>
    </rPh>
    <rPh sb="21" eb="23">
      <t>ホゾン</t>
    </rPh>
    <phoneticPr fontId="2"/>
  </si>
  <si>
    <t>※設定ファイルの定義によって
平文または暗号化の状態で格納する</t>
    <rPh sb="1" eb="3">
      <t>セッテイ</t>
    </rPh>
    <rPh sb="8" eb="10">
      <t>テイギ</t>
    </rPh>
    <rPh sb="15" eb="17">
      <t>ヒラブン</t>
    </rPh>
    <rPh sb="20" eb="23">
      <t>アンゴウカ</t>
    </rPh>
    <rPh sb="24" eb="26">
      <t>ジョウタイ</t>
    </rPh>
    <rPh sb="27" eb="29">
      <t>カクノウ</t>
    </rPh>
    <phoneticPr fontId="2"/>
  </si>
  <si>
    <t>暗号化フラグ</t>
    <rPh sb="0" eb="3">
      <t>アンゴウカ</t>
    </rPh>
    <phoneticPr fontId="2"/>
  </si>
  <si>
    <t>0：平文
1：暗号化</t>
    <rPh sb="2" eb="4">
      <t>ヒラブン</t>
    </rPh>
    <rPh sb="7" eb="10">
      <t>アンゴウカ</t>
    </rPh>
    <phoneticPr fontId="2"/>
  </si>
  <si>
    <t>APIレスポンスの「エラーコード」の項目を格納する。</t>
    <rPh sb="18" eb="20">
      <t>コウモク</t>
    </rPh>
    <rPh sb="21" eb="23">
      <t>カクノウ</t>
    </rPh>
    <phoneticPr fontId="2"/>
  </si>
  <si>
    <t>APIレスポンスの「システム用エラーメッセージ」の項目を格納する。</t>
    <rPh sb="14" eb="15">
      <t>ヨウ</t>
    </rPh>
    <rPh sb="25" eb="27">
      <t>コウモク</t>
    </rPh>
    <rPh sb="28" eb="30">
      <t>カクノウ</t>
    </rPh>
    <phoneticPr fontId="2"/>
  </si>
  <si>
    <t>APIレスポンスの「エンドユーザー用エラーメッセージ」の項目を格納する。</t>
    <rPh sb="17" eb="18">
      <t>ヨウ</t>
    </rPh>
    <rPh sb="28" eb="30">
      <t>コウモク</t>
    </rPh>
    <rPh sb="31" eb="33">
      <t>カクノウ</t>
    </rPh>
    <phoneticPr fontId="2"/>
  </si>
  <si>
    <t>※設定ファイルの定義を格納</t>
    <rPh sb="1" eb="3">
      <t>セッテイ</t>
    </rPh>
    <rPh sb="8" eb="10">
      <t>テイギ</t>
    </rPh>
    <rPh sb="11" eb="13">
      <t>カクノウ</t>
    </rPh>
    <phoneticPr fontId="2"/>
  </si>
  <si>
    <t>バックエンドAPI(富士通API)を利用する際に情報を残す。あくまでもバックエンドAPIの実行に関する調査を目的としているため最低限の情報のみを残す。</t>
    <rPh sb="10" eb="13">
      <t>フジツウ</t>
    </rPh>
    <rPh sb="18" eb="20">
      <t>リヨウ</t>
    </rPh>
    <rPh sb="22" eb="23">
      <t>サイ</t>
    </rPh>
    <rPh sb="24" eb="26">
      <t>ジョウホウ</t>
    </rPh>
    <rPh sb="27" eb="28">
      <t>ノコ</t>
    </rPh>
    <rPh sb="45" eb="47">
      <t>ジッコウ</t>
    </rPh>
    <rPh sb="48" eb="49">
      <t>カン</t>
    </rPh>
    <rPh sb="51" eb="53">
      <t>チョウサ</t>
    </rPh>
    <rPh sb="54" eb="56">
      <t>モクテキ</t>
    </rPh>
    <rPh sb="63" eb="66">
      <t>サイテイゲン</t>
    </rPh>
    <rPh sb="67" eb="69">
      <t>ジョウホウ</t>
    </rPh>
    <rPh sb="72" eb="73">
      <t>ノコ</t>
    </rPh>
    <phoneticPr fontId="2"/>
  </si>
  <si>
    <t>全体的にスキーマ変更</t>
    <rPh sb="0" eb="3">
      <t>ゼンタイテキ</t>
    </rPh>
    <rPh sb="8" eb="10">
      <t>ヘンコウ</t>
    </rPh>
    <phoneticPr fontId="2"/>
  </si>
  <si>
    <t>CLUB-S会員区分
会員区分に応じてコンテンツの閲覧可否を指定。
カンマ区切りで複数値を設定する。</t>
    <rPh sb="37" eb="39">
      <t>クギ</t>
    </rPh>
    <rPh sb="41" eb="43">
      <t>フクスウ</t>
    </rPh>
    <rPh sb="43" eb="44">
      <t>チ</t>
    </rPh>
    <rPh sb="45" eb="47">
      <t>セッテイ</t>
    </rPh>
    <phoneticPr fontId="2"/>
  </si>
  <si>
    <t>各種設定等のマスタテーブル(バックエンドから連携される)　※2023/09/17 20:02時点のUI_03-02.外部IF定義(FL-01-59-01_EC汎用マスタ).xlsx より作成。
オレンジ色背景のフィールドが取込データ。白背景はサテライト側で作成。空で連携される項目を想定しNULLチェックはしない想定。</t>
    <rPh sb="0" eb="2">
      <t>カクシュ</t>
    </rPh>
    <rPh sb="2" eb="4">
      <t>セッテイ</t>
    </rPh>
    <rPh sb="4" eb="5">
      <t>トウ</t>
    </rPh>
    <rPh sb="22" eb="24">
      <t>レンケイ</t>
    </rPh>
    <rPh sb="46" eb="48">
      <t>ジテン</t>
    </rPh>
    <rPh sb="93" eb="95">
      <t>サクセイ</t>
    </rPh>
    <rPh sb="101" eb="102">
      <t>イロ</t>
    </rPh>
    <rPh sb="102" eb="104">
      <t>ハイケイ</t>
    </rPh>
    <rPh sb="111" eb="113">
      <t>トリコミ</t>
    </rPh>
    <rPh sb="117" eb="118">
      <t>シロ</t>
    </rPh>
    <rPh sb="118" eb="120">
      <t>ハイケイ</t>
    </rPh>
    <rPh sb="126" eb="127">
      <t>ガワ</t>
    </rPh>
    <rPh sb="128" eb="130">
      <t>サクセイ</t>
    </rPh>
    <rPh sb="131" eb="132">
      <t>カラ</t>
    </rPh>
    <rPh sb="133" eb="135">
      <t>レンケイ</t>
    </rPh>
    <rPh sb="138" eb="140">
      <t>コウモク</t>
    </rPh>
    <rPh sb="141" eb="143">
      <t>ソウテイ</t>
    </rPh>
    <rPh sb="156" eb="158">
      <t>ソウテイ</t>
    </rPh>
    <phoneticPr fontId="2"/>
  </si>
  <si>
    <t>FRONT:フロントからの登録
RULE:ルールからの登録
SCRIPT:JavaScriptエラーからの登録</t>
    <rPh sb="53" eb="55">
      <t>トウロク</t>
    </rPh>
    <phoneticPr fontId="2"/>
  </si>
  <si>
    <t>uc_backend_api_log</t>
    <phoneticPr fontId="2"/>
  </si>
  <si>
    <t>encryption</t>
    <phoneticPr fontId="2"/>
  </si>
  <si>
    <t>date_created</t>
    <phoneticPr fontId="2"/>
  </si>
  <si>
    <t>FAQコンテンツ</t>
    <phoneticPr fontId="5"/>
  </si>
  <si>
    <t>FAQ</t>
    <phoneticPr fontId="2"/>
  </si>
  <si>
    <t>「HTML_PARTS」固定</t>
    <rPh sb="12" eb="14">
      <t>コテイ</t>
    </rPh>
    <phoneticPr fontId="2"/>
  </si>
  <si>
    <t>「CMS_PARTS」固定</t>
    <rPh sb="11" eb="13">
      <t>コテイ</t>
    </rPh>
    <phoneticPr fontId="2"/>
  </si>
  <si>
    <t>「FAQ」固定</t>
    <rPh sb="5" eb="7">
      <t>コテイ</t>
    </rPh>
    <phoneticPr fontId="2"/>
  </si>
  <si>
    <t>有効期限（TO）</t>
    <phoneticPr fontId="2"/>
  </si>
  <si>
    <t>必須
※HTMLパーツの命名ルールに従って決定</t>
    <rPh sb="0" eb="2">
      <t>ヒッス</t>
    </rPh>
    <rPh sb="12" eb="14">
      <t>メイメイ</t>
    </rPh>
    <rPh sb="18" eb="19">
      <t>シタガ</t>
    </rPh>
    <rPh sb="21" eb="23">
      <t>ケッテイ</t>
    </rPh>
    <phoneticPr fontId="2"/>
  </si>
  <si>
    <t>HTML部品</t>
    <rPh sb="4" eb="6">
      <t>ブヒン</t>
    </rPh>
    <phoneticPr fontId="2"/>
  </si>
  <si>
    <t>必須
※「0」固定</t>
    <rPh sb="0" eb="2">
      <t>ヒッス</t>
    </rPh>
    <rPh sb="7" eb="9">
      <t>コテイ</t>
    </rPh>
    <phoneticPr fontId="2"/>
  </si>
  <si>
    <t>必須
※FAQのIDを設定</t>
    <rPh sb="0" eb="2">
      <t>ヒッス</t>
    </rPh>
    <rPh sb="11" eb="13">
      <t>セッテイ</t>
    </rPh>
    <phoneticPr fontId="2"/>
  </si>
  <si>
    <t>カテゴリ名称１</t>
    <rPh sb="4" eb="6">
      <t>メイショウ</t>
    </rPh>
    <phoneticPr fontId="2"/>
  </si>
  <si>
    <t>カテゴリ名称２</t>
    <rPh sb="4" eb="6">
      <t>メイショウ</t>
    </rPh>
    <phoneticPr fontId="2"/>
  </si>
  <si>
    <t>カテゴリ名称３</t>
    <rPh sb="4" eb="6">
      <t>メイショウ</t>
    </rPh>
    <phoneticPr fontId="2"/>
  </si>
  <si>
    <t>管理更新者</t>
    <rPh sb="0" eb="2">
      <t>カンリ</t>
    </rPh>
    <rPh sb="2" eb="4">
      <t>コウシン</t>
    </rPh>
    <rPh sb="4" eb="5">
      <t>シャ</t>
    </rPh>
    <phoneticPr fontId="2"/>
  </si>
  <si>
    <t>管理更新日</t>
    <phoneticPr fontId="2"/>
  </si>
  <si>
    <t>管理更新者</t>
    <phoneticPr fontId="2"/>
  </si>
  <si>
    <t>FAQ質問</t>
    <rPh sb="3" eb="5">
      <t>シツモン</t>
    </rPh>
    <phoneticPr fontId="2"/>
  </si>
  <si>
    <t>FAQ概要</t>
    <rPh sb="3" eb="5">
      <t>ガイヨウ</t>
    </rPh>
    <phoneticPr fontId="2"/>
  </si>
  <si>
    <r>
      <t xml:space="preserve">数値を設定。
大きい程優先される。
</t>
    </r>
    <r>
      <rPr>
        <sz val="9"/>
        <color rgb="FFFF0000"/>
        <rFont val="ＭＳ Ｐゴシック"/>
        <family val="3"/>
        <charset val="128"/>
      </rPr>
      <t>※画面からID指定（サブID「0」固定）であるため、実質的に設定不要。</t>
    </r>
    <rPh sb="19" eb="21">
      <t>ガメン</t>
    </rPh>
    <rPh sb="25" eb="27">
      <t>シテイ</t>
    </rPh>
    <rPh sb="35" eb="37">
      <t>コテイ</t>
    </rPh>
    <rPh sb="44" eb="46">
      <t>ジッシツ</t>
    </rPh>
    <rPh sb="46" eb="47">
      <t>テキ</t>
    </rPh>
    <rPh sb="48" eb="50">
      <t>セッテイ</t>
    </rPh>
    <rPh sb="50" eb="52">
      <t>フヨウ</t>
    </rPh>
    <phoneticPr fontId="2"/>
  </si>
  <si>
    <r>
      <t xml:space="preserve">「0」固定
</t>
    </r>
    <r>
      <rPr>
        <sz val="9"/>
        <color rgb="FFFF0000"/>
        <rFont val="ＭＳ Ｐゴシック"/>
        <family val="3"/>
        <charset val="128"/>
      </rPr>
      <t>※コンテンツページでサブID指定が無い場合はサブID「0」のコンテンツが表示されるため、実質的に設定不要。</t>
    </r>
    <rPh sb="3" eb="5">
      <t>コテイ</t>
    </rPh>
    <rPh sb="20" eb="22">
      <t>シテイ</t>
    </rPh>
    <rPh sb="23" eb="24">
      <t>ナ</t>
    </rPh>
    <rPh sb="25" eb="27">
      <t>バアイ</t>
    </rPh>
    <rPh sb="42" eb="44">
      <t>ヒョウジ</t>
    </rPh>
    <rPh sb="50" eb="53">
      <t>ジッシツテキ</t>
    </rPh>
    <rPh sb="54" eb="56">
      <t>セッテイ</t>
    </rPh>
    <rPh sb="56" eb="58">
      <t>フヨウ</t>
    </rPh>
    <phoneticPr fontId="2"/>
  </si>
  <si>
    <t>「0」固定
※サブID「0」固定としているため、実質的に設定不要。</t>
    <rPh sb="3" eb="5">
      <t>コテイ</t>
    </rPh>
    <rPh sb="24" eb="27">
      <t>ジッシツテキ</t>
    </rPh>
    <rPh sb="28" eb="30">
      <t>セッテイ</t>
    </rPh>
    <rPh sb="30" eb="32">
      <t>フヨウ</t>
    </rPh>
    <phoneticPr fontId="2"/>
  </si>
  <si>
    <t>約款</t>
    <phoneticPr fontId="2"/>
  </si>
  <si>
    <t>約款情報（PC）</t>
    <phoneticPr fontId="2"/>
  </si>
  <si>
    <t>共通説明部品（PC）</t>
    <phoneticPr fontId="2"/>
  </si>
  <si>
    <t xml:space="preserve">関連商品CMS情報（PC）
</t>
    <rPh sb="0" eb="2">
      <t>カンレン</t>
    </rPh>
    <rPh sb="2" eb="4">
      <t>ショウヒン</t>
    </rPh>
    <phoneticPr fontId="2"/>
  </si>
  <si>
    <t>PRODUCT_GROUP</t>
    <phoneticPr fontId="2"/>
  </si>
  <si>
    <t>OP_RECOMMEND_CMS</t>
    <phoneticPr fontId="2"/>
  </si>
  <si>
    <t>PRODUCT_HTML</t>
    <phoneticPr fontId="2"/>
  </si>
  <si>
    <t>YAKKAN</t>
    <phoneticPr fontId="2"/>
  </si>
  <si>
    <t>未使用</t>
    <rPh sb="0" eb="3">
      <t>ミシヨウ</t>
    </rPh>
    <phoneticPr fontId="2"/>
  </si>
  <si>
    <t>予備項目</t>
    <rPh sb="0" eb="2">
      <t>ヨビ</t>
    </rPh>
    <rPh sb="2" eb="4">
      <t>コウモク</t>
    </rPh>
    <phoneticPr fontId="2"/>
  </si>
  <si>
    <t>削除区分</t>
    <rPh sb="0" eb="2">
      <t>サクジョ</t>
    </rPh>
    <rPh sb="2" eb="4">
      <t>クブン</t>
    </rPh>
    <phoneticPr fontId="2"/>
  </si>
  <si>
    <t>商品グループ属性</t>
  </si>
  <si>
    <t>「約款・注意事項・共通説明部品」の説明を個別に分離。その他利用フィールドの整備。補足の追記等。</t>
    <rPh sb="17" eb="19">
      <t>セツメイ</t>
    </rPh>
    <rPh sb="20" eb="22">
      <t>コベツ</t>
    </rPh>
    <rPh sb="23" eb="25">
      <t>ブンリ</t>
    </rPh>
    <rPh sb="28" eb="29">
      <t>タ</t>
    </rPh>
    <rPh sb="29" eb="31">
      <t>リヨウ</t>
    </rPh>
    <rPh sb="37" eb="39">
      <t>セイビ</t>
    </rPh>
    <rPh sb="40" eb="42">
      <t>ホソク</t>
    </rPh>
    <rPh sb="43" eb="45">
      <t>ツイキ</t>
    </rPh>
    <rPh sb="45" eb="46">
      <t>トウ</t>
    </rPh>
    <phoneticPr fontId="2"/>
  </si>
  <si>
    <t>コンテンツ管理</t>
  </si>
  <si>
    <r>
      <t xml:space="preserve">サイト取扱区分
</t>
    </r>
    <r>
      <rPr>
        <strike/>
        <sz val="9"/>
        <rFont val="ＭＳ Ｐゴシック"/>
        <family val="3"/>
        <charset val="128"/>
      </rPr>
      <t>EC / EC_A / BOTH</t>
    </r>
    <r>
      <rPr>
        <sz val="9"/>
        <rFont val="ＭＳ Ｐゴシック"/>
        <family val="3"/>
        <charset val="128"/>
      </rPr>
      <t xml:space="preserve">
COM / AKB / ORD / ACC
をカンマ区切りで格納</t>
    </r>
    <rPh sb="51" eb="53">
      <t>クギ</t>
    </rPh>
    <rPh sb="55" eb="57">
      <t>カクノウ</t>
    </rPh>
    <phoneticPr fontId="2"/>
  </si>
  <si>
    <r>
      <t xml:space="preserve">レイアウト設定用XML
不要
</t>
    </r>
    <r>
      <rPr>
        <strike/>
        <sz val="9"/>
        <rFont val="ＭＳ Ｐゴシック"/>
        <family val="3"/>
        <charset val="128"/>
      </rPr>
      <t>&lt;Ucf&gt;
&lt;DispInfo header="on" footer="on" left="on" right="on" /&gt;
&lt;/Ucf&gt;</t>
    </r>
    <rPh sb="5" eb="7">
      <t>セッテイ</t>
    </rPh>
    <rPh sb="7" eb="8">
      <t>ヨウ</t>
    </rPh>
    <rPh sb="12" eb="14">
      <t>フヨウ</t>
    </rPh>
    <phoneticPr fontId="0"/>
  </si>
  <si>
    <t>contents_manager_name</t>
    <phoneticPr fontId="2"/>
  </si>
  <si>
    <t>コンテンツ責任者</t>
    <rPh sb="5" eb="8">
      <t>セキニンシャ</t>
    </rPh>
    <phoneticPr fontId="2"/>
  </si>
  <si>
    <t>HEADタグ内に埋め込む内容を記述。
PAGESタイプ（ページ、法人、店舗）のトピックスのみ利用可。</t>
    <rPh sb="6" eb="7">
      <t>ナイ</t>
    </rPh>
    <rPh sb="8" eb="9">
      <t>ウ</t>
    </rPh>
    <rPh sb="10" eb="11">
      <t>コ</t>
    </rPh>
    <rPh sb="12" eb="14">
      <t>ナイヨウ</t>
    </rPh>
    <rPh sb="15" eb="17">
      <t>キジュツ</t>
    </rPh>
    <rPh sb="32" eb="34">
      <t>ホウジン</t>
    </rPh>
    <rPh sb="35" eb="37">
      <t>テンポ</t>
    </rPh>
    <rPh sb="46" eb="48">
      <t>リヨウ</t>
    </rPh>
    <rPh sb="48" eb="49">
      <t>カ</t>
    </rPh>
    <phoneticPr fontId="2"/>
  </si>
  <si>
    <r>
      <t xml:space="preserve">CONTENTS：コンテンツページに設定するカテゴリ
PAGES：ページコンテンツに設定するカテゴリ
HOUJIN：法人コンテンツに設定するカテゴリ
TENPO：店舗コンテンツに設定するカテゴリ
HTML_PARTS：HTML部品に設定するカテゴリ
CMS_PARTS：CMS部品に設定するカテゴリ
</t>
    </r>
    <r>
      <rPr>
        <sz val="9"/>
        <color rgb="FFFF0000"/>
        <rFont val="Meiryo UI"/>
        <family val="3"/>
        <charset val="128"/>
      </rPr>
      <t>FAQ：FAQに設定するカテゴリ</t>
    </r>
    <rPh sb="18" eb="20">
      <t>セッテイ</t>
    </rPh>
    <rPh sb="42" eb="44">
      <t>セッテイ</t>
    </rPh>
    <rPh sb="58" eb="60">
      <t>ホウジン</t>
    </rPh>
    <rPh sb="66" eb="68">
      <t>セッテイ</t>
    </rPh>
    <rPh sb="81" eb="83">
      <t>テンポ</t>
    </rPh>
    <rPh sb="89" eb="91">
      <t>セッテイ</t>
    </rPh>
    <rPh sb="113" eb="115">
      <t>ブヒン</t>
    </rPh>
    <rPh sb="116" eb="118">
      <t>セッテイ</t>
    </rPh>
    <rPh sb="138" eb="140">
      <t>ブヒン</t>
    </rPh>
    <rPh sb="141" eb="143">
      <t>セッテイ</t>
    </rPh>
    <rPh sb="158" eb="160">
      <t>セッテイ</t>
    </rPh>
    <phoneticPr fontId="2"/>
  </si>
  <si>
    <r>
      <t xml:space="preserve">TOPICS：トピックス
HTML_PARTS：ＨＴＭＬ部品
CMS_PARTS：CMS部品
</t>
    </r>
    <r>
      <rPr>
        <sz val="9"/>
        <color rgb="FFFF0000"/>
        <rFont val="Meiryo UI"/>
        <family val="3"/>
        <charset val="128"/>
      </rPr>
      <t>FAQ：ＦＡＱ用コンテンツ</t>
    </r>
    <rPh sb="44" eb="46">
      <t>ブヒン</t>
    </rPh>
    <rPh sb="54" eb="55">
      <t>ヨウ</t>
    </rPh>
    <phoneticPr fontId="2"/>
  </si>
  <si>
    <t>削除済みデータは管理画面に表示しない</t>
    <rPh sb="0" eb="2">
      <t>サクジョ</t>
    </rPh>
    <rPh sb="2" eb="3">
      <t>ズ</t>
    </rPh>
    <rPh sb="8" eb="10">
      <t>カンリ</t>
    </rPh>
    <rPh sb="10" eb="12">
      <t>ガメン</t>
    </rPh>
    <rPh sb="13" eb="15">
      <t>ヒョウジ</t>
    </rPh>
    <phoneticPr fontId="2"/>
  </si>
  <si>
    <t>有効でないものは削除と同じくフロントサイトの表示対象外。</t>
    <rPh sb="0" eb="2">
      <t>ユウコウ</t>
    </rPh>
    <rPh sb="8" eb="10">
      <t>サクジョ</t>
    </rPh>
    <rPh sb="11" eb="12">
      <t>オナ</t>
    </rPh>
    <rPh sb="22" eb="24">
      <t>ヒョウジ</t>
    </rPh>
    <rPh sb="24" eb="27">
      <t>タイショウガイ</t>
    </rPh>
    <phoneticPr fontId="2"/>
  </si>
  <si>
    <t>コンテンツ管理履歴</t>
  </si>
  <si>
    <t>FAQ用のデータ列を追加。HTML部品、CMS部品、トピックス列の説明を更新。その他修正。</t>
    <rPh sb="3" eb="4">
      <t>ヨウ</t>
    </rPh>
    <rPh sb="8" eb="9">
      <t>レツ</t>
    </rPh>
    <rPh sb="10" eb="12">
      <t>ツイカ</t>
    </rPh>
    <rPh sb="17" eb="19">
      <t>ブヒン</t>
    </rPh>
    <rPh sb="23" eb="25">
      <t>ブヒン</t>
    </rPh>
    <rPh sb="31" eb="32">
      <t>レツ</t>
    </rPh>
    <rPh sb="33" eb="35">
      <t>セツメイ</t>
    </rPh>
    <rPh sb="36" eb="38">
      <t>コウシン</t>
    </rPh>
    <rPh sb="41" eb="42">
      <t>ホカ</t>
    </rPh>
    <rPh sb="42" eb="44">
      <t>シュウセイ</t>
    </rPh>
    <phoneticPr fontId="2"/>
  </si>
  <si>
    <t>property_date1</t>
    <phoneticPr fontId="2"/>
  </si>
  <si>
    <t>property_date4</t>
  </si>
  <si>
    <t>property_date5</t>
  </si>
  <si>
    <t>Docs作成日</t>
    <rPh sb="4" eb="6">
      <t>サクセイ</t>
    </rPh>
    <rPh sb="6" eb="7">
      <t>ビ</t>
    </rPh>
    <phoneticPr fontId="2"/>
  </si>
  <si>
    <t>Docs更新日</t>
    <rPh sb="4" eb="7">
      <t>コウシンビ</t>
    </rPh>
    <phoneticPr fontId="2"/>
  </si>
  <si>
    <t>必須
※FAQ管理番号をIDとして設定
各種コンテンツとキーが重複しないように注意する。</t>
    <rPh sb="0" eb="2">
      <t>ヒッス</t>
    </rPh>
    <rPh sb="7" eb="9">
      <t>カンリ</t>
    </rPh>
    <rPh sb="9" eb="11">
      <t>バンゴウ</t>
    </rPh>
    <rPh sb="17" eb="19">
      <t>セッテイ</t>
    </rPh>
    <rPh sb="20" eb="22">
      <t>カクシュ</t>
    </rPh>
    <rPh sb="31" eb="33">
      <t>チョウフク</t>
    </rPh>
    <rPh sb="39" eb="41">
      <t>チュウイ</t>
    </rPh>
    <phoneticPr fontId="2"/>
  </si>
  <si>
    <t>コンテンツ概要（管理用）</t>
    <rPh sb="5" eb="7">
      <t>ガイヨウ</t>
    </rPh>
    <phoneticPr fontId="2"/>
  </si>
  <si>
    <t>FAQ概要（管理用）</t>
    <rPh sb="3" eb="5">
      <t>ガイヨウ</t>
    </rPh>
    <rPh sb="6" eb="9">
      <t>カンリヨウ</t>
    </rPh>
    <phoneticPr fontId="2"/>
  </si>
  <si>
    <t>日時１</t>
    <rPh sb="0" eb="2">
      <t>ニチジ</t>
    </rPh>
    <phoneticPr fontId="2"/>
  </si>
  <si>
    <t>日時２</t>
    <rPh sb="0" eb="2">
      <t>ニチジ</t>
    </rPh>
    <phoneticPr fontId="2"/>
  </si>
  <si>
    <t>日時３</t>
    <rPh sb="0" eb="2">
      <t>ニチジ</t>
    </rPh>
    <phoneticPr fontId="2"/>
  </si>
  <si>
    <t>日時４</t>
    <rPh sb="0" eb="2">
      <t>ニチジ</t>
    </rPh>
    <phoneticPr fontId="2"/>
  </si>
  <si>
    <t>日時５</t>
    <rPh sb="0" eb="2">
      <t>ニチジ</t>
    </rPh>
    <phoneticPr fontId="2"/>
  </si>
  <si>
    <t>商品グループ
（商品SKUをカンマ区切りで登録）</t>
    <rPh sb="0" eb="2">
      <t>ショウヒン</t>
    </rPh>
    <rPh sb="8" eb="10">
      <t>ショウヒン</t>
    </rPh>
    <rPh sb="17" eb="19">
      <t>クギ</t>
    </rPh>
    <rPh sb="21" eb="23">
      <t>トウロク</t>
    </rPh>
    <phoneticPr fontId="0"/>
  </si>
  <si>
    <t>「NO_CACHE」⇒ユーザー生成
「BATCH」⇒パブリッシュ生成</t>
    <phoneticPr fontId="2"/>
  </si>
  <si>
    <t>「NO_CACHE」固定</t>
    <rPh sb="10" eb="12">
      <t>コテイ</t>
    </rPh>
    <phoneticPr fontId="2"/>
  </si>
  <si>
    <t>買取キャンペーン：紐付ジャンル
ジャンルレコメンド：紐付ジャンル</t>
    <phoneticPr fontId="2"/>
  </si>
  <si>
    <t>フロント表示（コンテンツページのみ）</t>
    <rPh sb="4" eb="6">
      <t>ヒョウジ</t>
    </rPh>
    <phoneticPr fontId="2"/>
  </si>
  <si>
    <t>関連商品HTML</t>
    <rPh sb="0" eb="2">
      <t>カンレン</t>
    </rPh>
    <rPh sb="2" eb="4">
      <t>ショウヒン</t>
    </rPh>
    <phoneticPr fontId="2"/>
  </si>
  <si>
    <t>商品商品HTML</t>
    <rPh sb="0" eb="2">
      <t>ショウヒン</t>
    </rPh>
    <rPh sb="2" eb="4">
      <t>ショウヒン</t>
    </rPh>
    <phoneticPr fontId="2"/>
  </si>
  <si>
    <t>PAGES
HOUJIN
TENPO
から選択</t>
    <rPh sb="21" eb="23">
      <t>センタク</t>
    </rPh>
    <phoneticPr fontId="2"/>
  </si>
  <si>
    <t>トピックス(通常)</t>
    <rPh sb="6" eb="8">
      <t>ツウジョウ</t>
    </rPh>
    <phoneticPr fontId="2"/>
  </si>
  <si>
    <t>トピックス(ページ)</t>
    <phoneticPr fontId="2"/>
  </si>
  <si>
    <t>質問内容(FAQヘッダ)</t>
    <rPh sb="0" eb="2">
      <t>シツモン</t>
    </rPh>
    <rPh sb="2" eb="4">
      <t>ナイヨウ</t>
    </rPh>
    <phoneticPr fontId="2"/>
  </si>
  <si>
    <t>FAQカテゴリコード1</t>
    <phoneticPr fontId="2"/>
  </si>
  <si>
    <t>FAQカテゴリコード2</t>
    <phoneticPr fontId="2"/>
  </si>
  <si>
    <t>チャネルコード</t>
    <phoneticPr fontId="2"/>
  </si>
  <si>
    <t>コンテンツ
※コンテンツ本文(SCRIPT)から変換された内容が格納される</t>
    <rPh sb="12" eb="14">
      <t>ホンブン</t>
    </rPh>
    <rPh sb="24" eb="26">
      <t>ヘンカン</t>
    </rPh>
    <rPh sb="29" eb="31">
      <t>ナイヨウ</t>
    </rPh>
    <rPh sb="32" eb="34">
      <t>カクノウ</t>
    </rPh>
    <phoneticPr fontId="2"/>
  </si>
  <si>
    <t>コンテンツ
※コンテンツ本文(SCRIPT)から変換された内容が格納される</t>
    <phoneticPr fontId="2"/>
  </si>
  <si>
    <t>HTML部品の本文</t>
    <rPh sb="4" eb="6">
      <t>ブヒン</t>
    </rPh>
    <rPh sb="7" eb="9">
      <t>ホンブン</t>
    </rPh>
    <phoneticPr fontId="2"/>
  </si>
  <si>
    <t>CMS部品の本文</t>
    <rPh sb="3" eb="5">
      <t>ブヒン</t>
    </rPh>
    <rPh sb="6" eb="8">
      <t>ホンブン</t>
    </rPh>
    <phoneticPr fontId="2"/>
  </si>
  <si>
    <t>トピックスの本文</t>
    <rPh sb="6" eb="8">
      <t>ホンブン</t>
    </rPh>
    <phoneticPr fontId="2"/>
  </si>
  <si>
    <t xml:space="preserve">(Empty)：通常
ADULT：アダルト承認制御有り
</t>
    <phoneticPr fontId="2"/>
  </si>
  <si>
    <t>&lt;HEAD&gt;タグ内のすべてを記入する。
※titleやkeyword、descriptionや参照したいjs、css、metaタグなど</t>
    <rPh sb="8" eb="9">
      <t>ナイ</t>
    </rPh>
    <rPh sb="14" eb="16">
      <t>キニュウ</t>
    </rPh>
    <rPh sb="47" eb="49">
      <t>サンショウ</t>
    </rPh>
    <phoneticPr fontId="2"/>
  </si>
  <si>
    <t>&lt;HEAD&gt;タグ内に追加したい内容のみ記入する。
※追加したいjsやcss、metaタグのみ</t>
    <rPh sb="10" eb="12">
      <t>ツイカ</t>
    </rPh>
    <rPh sb="15" eb="17">
      <t>ナイヨウ</t>
    </rPh>
    <rPh sb="19" eb="21">
      <t>キニュウ</t>
    </rPh>
    <rPh sb="26" eb="28">
      <t>ツイカ</t>
    </rPh>
    <phoneticPr fontId="2"/>
  </si>
  <si>
    <t>ページタイトルの末尾に追加する文字列</t>
    <rPh sb="8" eb="10">
      <t>マツビ</t>
    </rPh>
    <rPh sb="11" eb="13">
      <t>ツイカ</t>
    </rPh>
    <rPh sb="15" eb="17">
      <t>モジ</t>
    </rPh>
    <rPh sb="17" eb="18">
      <t>レツ</t>
    </rPh>
    <phoneticPr fontId="2"/>
  </si>
  <si>
    <t>トピックスの本文
※BODYタグの内容のみを記入する</t>
    <rPh sb="6" eb="8">
      <t>ホンブン</t>
    </rPh>
    <rPh sb="17" eb="19">
      <t>ナイヨウ</t>
    </rPh>
    <rPh sb="22" eb="24">
      <t>キニュウ</t>
    </rPh>
    <phoneticPr fontId="2"/>
  </si>
  <si>
    <t>cache_expire_limit_scriptで計算された実際の時刻を格納</t>
    <phoneticPr fontId="2"/>
  </si>
  <si>
    <t>FAQの本文</t>
    <rPh sb="4" eb="6">
      <t>ホンブン</t>
    </rPh>
    <phoneticPr fontId="2"/>
  </si>
  <si>
    <t>管理更新種類</t>
    <phoneticPr fontId="2"/>
  </si>
  <si>
    <t xml:space="preserve">数値を設定。
大きい程優先される。
</t>
    <phoneticPr fontId="2"/>
  </si>
  <si>
    <t>管理画面には非表示。
内部的に「0」固定。
※サブIDが未指定の場合はサブID「０」を参照し、同一条件のものから１つを選ぶという挙動をしないため。</t>
    <rPh sb="0" eb="2">
      <t>カンリ</t>
    </rPh>
    <rPh sb="2" eb="4">
      <t>ガメン</t>
    </rPh>
    <rPh sb="6" eb="9">
      <t>ヒヒョウジ</t>
    </rPh>
    <rPh sb="11" eb="14">
      <t>ナイブテキ</t>
    </rPh>
    <rPh sb="18" eb="20">
      <t>コテイ</t>
    </rPh>
    <phoneticPr fontId="2"/>
  </si>
  <si>
    <t>管理画面には非表示。
内部的に「0」固定。
※サブID「0」固定としているため、実質的に設定不要。</t>
    <rPh sb="0" eb="2">
      <t>カンリ</t>
    </rPh>
    <rPh sb="2" eb="4">
      <t>ガメン</t>
    </rPh>
    <rPh sb="6" eb="9">
      <t>ヒヒョウジ</t>
    </rPh>
    <rPh sb="11" eb="14">
      <t>ナイブテキ</t>
    </rPh>
    <rPh sb="18" eb="20">
      <t>コテイ</t>
    </rPh>
    <rPh sb="40" eb="43">
      <t>ジッシツテキ</t>
    </rPh>
    <rPh sb="44" eb="46">
      <t>セッテイ</t>
    </rPh>
    <rPh sb="46" eb="48">
      <t>フヨウ</t>
    </rPh>
    <phoneticPr fontId="2"/>
  </si>
  <si>
    <t>※オレンジ色のセルは利用するか確認する</t>
    <rPh sb="5" eb="6">
      <t>イロ</t>
    </rPh>
    <rPh sb="10" eb="12">
      <t>リヨウ</t>
    </rPh>
    <rPh sb="15" eb="17">
      <t>カクニン</t>
    </rPh>
    <phoneticPr fontId="2"/>
  </si>
  <si>
    <t>必須
※自由に決める</t>
    <rPh sb="0" eb="2">
      <t>ヒッス</t>
    </rPh>
    <rPh sb="7" eb="8">
      <t>キ</t>
    </rPh>
    <phoneticPr fontId="2"/>
  </si>
  <si>
    <t>必須
※自由に決める</t>
    <rPh sb="0" eb="2">
      <t>ヒッス</t>
    </rPh>
    <rPh sb="4" eb="6">
      <t>ジユウ</t>
    </rPh>
    <rPh sb="7" eb="8">
      <t>キ</t>
    </rPh>
    <phoneticPr fontId="2"/>
  </si>
  <si>
    <t>必須
※HTML部品の命名ルールに従って指定ｓｙｒｙ</t>
    <rPh sb="0" eb="2">
      <t>ヒッス</t>
    </rPh>
    <rPh sb="8" eb="10">
      <t>ブヒン</t>
    </rPh>
    <rPh sb="11" eb="13">
      <t>メイメイ</t>
    </rPh>
    <rPh sb="17" eb="18">
      <t>シタガ</t>
    </rPh>
    <rPh sb="20" eb="22">
      <t>シテイ</t>
    </rPh>
    <phoneticPr fontId="2"/>
  </si>
  <si>
    <t xml:space="preserve">管理画面には非表示。
内部的に「0」固定。
</t>
    <rPh sb="0" eb="2">
      <t>カンリ</t>
    </rPh>
    <rPh sb="2" eb="4">
      <t>ガメン</t>
    </rPh>
    <rPh sb="6" eb="9">
      <t>ヒヒョウジ</t>
    </rPh>
    <rPh sb="11" eb="14">
      <t>ナイブテキ</t>
    </rPh>
    <rPh sb="18" eb="20">
      <t>コテイ</t>
    </rPh>
    <phoneticPr fontId="2"/>
  </si>
  <si>
    <t>管理画面には非表示。
内部的に「0」固定。
※CMSコマンドでサブIDを指定をするので、同一条件のものから１つを選ぶという挙動をしないため。</t>
    <rPh sb="36" eb="38">
      <t>シテイ</t>
    </rPh>
    <rPh sb="61" eb="63">
      <t>キョドウ</t>
    </rPh>
    <phoneticPr fontId="2"/>
  </si>
  <si>
    <t>表示開始日時</t>
    <rPh sb="0" eb="2">
      <t>ヒョウジ</t>
    </rPh>
    <rPh sb="2" eb="4">
      <t>カイシ</t>
    </rPh>
    <rPh sb="4" eb="6">
      <t>ニチジ</t>
    </rPh>
    <phoneticPr fontId="2"/>
  </si>
  <si>
    <t>表示終了日時</t>
    <rPh sb="0" eb="2">
      <t>ヒョウジ</t>
    </rPh>
    <rPh sb="2" eb="4">
      <t>シュウリョウ</t>
    </rPh>
    <rPh sb="4" eb="6">
      <t>ニチジ</t>
    </rPh>
    <phoneticPr fontId="2"/>
  </si>
  <si>
    <t>会員専用トピックスフラグ
(Empty)：通常
MEMBER：会員専用
s0000001:COOP専用
s0000013:KM専用
s0000027:JID専用</t>
    <phoneticPr fontId="2"/>
  </si>
  <si>
    <t>承認ステータス</t>
  </si>
  <si>
    <t>recognition_status</t>
  </si>
  <si>
    <t>最終承認者名</t>
  </si>
  <si>
    <t>last_recognition_name</t>
  </si>
  <si>
    <t>次承認者名</t>
  </si>
  <si>
    <t>next_recognition_name</t>
    <phoneticPr fontId="2"/>
  </si>
  <si>
    <t>コンテンツ責任者</t>
  </si>
  <si>
    <t>次承認期限</t>
  </si>
  <si>
    <t>next_recognition_limit</t>
  </si>
  <si>
    <t>最終承認日</t>
  </si>
  <si>
    <t>last_recognition_date</t>
  </si>
  <si>
    <t>承認履歴</t>
  </si>
  <si>
    <t>recognition_history_xml</t>
  </si>
  <si>
    <t>※グレーのセルは未使用項目</t>
    <rPh sb="8" eb="11">
      <t>ミシヨウ</t>
    </rPh>
    <rPh sb="11" eb="13">
      <t>コウモク</t>
    </rPh>
    <phoneticPr fontId="2"/>
  </si>
  <si>
    <t>uc_product_group_attribute</t>
    <phoneticPr fontId="2"/>
  </si>
  <si>
    <t>商品グループＩＤ</t>
    <rPh sb="0" eb="2">
      <t>ショウヒン</t>
    </rPh>
    <phoneticPr fontId="2"/>
  </si>
  <si>
    <t>商品グループサブID</t>
    <rPh sb="0" eb="2">
      <t>ショウヒン</t>
    </rPh>
    <phoneticPr fontId="2"/>
  </si>
  <si>
    <t>numberOfNotify</t>
    <phoneticPr fontId="2"/>
  </si>
  <si>
    <t>pushTime</t>
    <phoneticPr fontId="2"/>
  </si>
  <si>
    <t>pushId</t>
    <phoneticPr fontId="2"/>
  </si>
  <si>
    <t>通知件数</t>
    <rPh sb="0" eb="2">
      <t>ツウチ</t>
    </rPh>
    <rPh sb="2" eb="4">
      <t>ケンスウ</t>
    </rPh>
    <phoneticPr fontId="2"/>
  </si>
  <si>
    <t>送信時刻</t>
    <rPh sb="0" eb="2">
      <t>ソウシン</t>
    </rPh>
    <rPh sb="2" eb="4">
      <t>ジコク</t>
    </rPh>
    <phoneticPr fontId="2"/>
  </si>
  <si>
    <t>識別ID</t>
    <rPh sb="0" eb="2">
      <t>シキベツ</t>
    </rPh>
    <phoneticPr fontId="2"/>
  </si>
  <si>
    <t>uc_dgft_notification_log</t>
  </si>
  <si>
    <t>uc_dgft_notification_log</t>
    <phoneticPr fontId="2"/>
  </si>
  <si>
    <t>DGFTプッシュ通知履歴</t>
    <rPh sb="8" eb="10">
      <t>ツウチ</t>
    </rPh>
    <rPh sb="10" eb="12">
      <t>リレキ</t>
    </rPh>
    <phoneticPr fontId="2"/>
  </si>
  <si>
    <t>DGFTからのプッシュ通知の内容の履歴を残す</t>
    <rPh sb="11" eb="13">
      <t>ツウチ</t>
    </rPh>
    <rPh sb="14" eb="16">
      <t>ナイヨウ</t>
    </rPh>
    <rPh sb="17" eb="19">
      <t>リレキ</t>
    </rPh>
    <rPh sb="20" eb="21">
      <t>ノコ</t>
    </rPh>
    <phoneticPr fontId="2"/>
  </si>
  <si>
    <t>notification_data</t>
    <phoneticPr fontId="2"/>
  </si>
  <si>
    <t>通知内容</t>
    <rPh sb="0" eb="2">
      <t>ツウチ</t>
    </rPh>
    <rPh sb="2" eb="4">
      <t>ナイヨウ</t>
    </rPh>
    <phoneticPr fontId="2"/>
  </si>
  <si>
    <t>通知タイプ</t>
    <rPh sb="0" eb="2">
      <t>ツウチ</t>
    </rPh>
    <phoneticPr fontId="2"/>
  </si>
  <si>
    <t>notification_type</t>
    <phoneticPr fontId="2"/>
  </si>
  <si>
    <t>通知件数、送信時刻、識別IDを除いたリクエスト内容をXML化した状態で格納</t>
    <rPh sb="0" eb="2">
      <t>ツウチ</t>
    </rPh>
    <rPh sb="2" eb="4">
      <t>ケンスウ</t>
    </rPh>
    <rPh sb="5" eb="7">
      <t>ソウシン</t>
    </rPh>
    <rPh sb="7" eb="9">
      <t>ジコク</t>
    </rPh>
    <rPh sb="10" eb="12">
      <t>シキベツ</t>
    </rPh>
    <rPh sb="15" eb="16">
      <t>ノゾ</t>
    </rPh>
    <rPh sb="23" eb="25">
      <t>ナイヨウ</t>
    </rPh>
    <rPh sb="29" eb="30">
      <t>カ</t>
    </rPh>
    <rPh sb="32" eb="34">
      <t>ジョウタイ</t>
    </rPh>
    <rPh sb="35" eb="37">
      <t>カクノウ</t>
    </rPh>
    <phoneticPr fontId="2"/>
  </si>
  <si>
    <t>通知内容から判定した通知タイプを格納</t>
    <rPh sb="0" eb="2">
      <t>ツウチ</t>
    </rPh>
    <rPh sb="2" eb="4">
      <t>ナイヨウ</t>
    </rPh>
    <rPh sb="6" eb="8">
      <t>ハンテイ</t>
    </rPh>
    <rPh sb="10" eb="12">
      <t>ツウチ</t>
    </rPh>
    <rPh sb="16" eb="18">
      <t>カクノウ</t>
    </rPh>
    <phoneticPr fontId="2"/>
  </si>
  <si>
    <t>ATM_BANK：ATM/銀行決済
CONVENIENCE：コンビニ決済
CREDIT：クレジット決済
PAYPAY：PAYPAY決済</t>
    <rPh sb="13" eb="15">
      <t>ギンコウ</t>
    </rPh>
    <rPh sb="15" eb="17">
      <t>ケッサイ</t>
    </rPh>
    <rPh sb="34" eb="36">
      <t>ケッサイ</t>
    </rPh>
    <rPh sb="65" eb="67">
      <t>ケッサイ</t>
    </rPh>
    <phoneticPr fontId="2"/>
  </si>
  <si>
    <t>ベリトランス履歴</t>
    <phoneticPr fontId="2"/>
  </si>
  <si>
    <t>DGFTプッシュ通知履歴</t>
    <phoneticPr fontId="2"/>
  </si>
  <si>
    <t>使用しない想定のテーブルとなるので、削除</t>
    <rPh sb="0" eb="2">
      <t>シヨウ</t>
    </rPh>
    <rPh sb="5" eb="7">
      <t>ソウテイ</t>
    </rPh>
    <rPh sb="18" eb="20">
      <t>サクジョ</t>
    </rPh>
    <phoneticPr fontId="2"/>
  </si>
  <si>
    <t>DGFTのプッシュ通知のみを格納する専用の履歴テーブルを作成。</t>
    <rPh sb="9" eb="11">
      <t>ツウチ</t>
    </rPh>
    <rPh sb="14" eb="16">
      <t>カクノウ</t>
    </rPh>
    <rPh sb="18" eb="20">
      <t>センヨウ</t>
    </rPh>
    <rPh sb="21" eb="23">
      <t>リレキ</t>
    </rPh>
    <rPh sb="28" eb="30">
      <t>サクセイ</t>
    </rPh>
    <phoneticPr fontId="2"/>
  </si>
  <si>
    <t>UTF-8</t>
  </si>
  <si>
    <t>L(32)Eq</t>
    <phoneticPr fontId="2"/>
  </si>
  <si>
    <t>Eq</t>
    <phoneticPr fontId="2"/>
  </si>
  <si>
    <t>manage_updater_name</t>
    <phoneticPr fontId="2"/>
  </si>
  <si>
    <t>manage_date_changed</t>
    <phoneticPr fontId="2"/>
  </si>
  <si>
    <t>ECセンターフラグ</t>
    <phoneticPr fontId="2"/>
  </si>
  <si>
    <t>tenpo_flg</t>
    <phoneticPr fontId="2"/>
  </si>
  <si>
    <t>L(1)Eq</t>
    <phoneticPr fontId="2"/>
  </si>
  <si>
    <t>0:店舗、1:センター</t>
    <phoneticPr fontId="2"/>
  </si>
  <si>
    <t>店舗マスタ</t>
    <rPh sb="0" eb="2">
      <t>テンポ</t>
    </rPh>
    <phoneticPr fontId="2"/>
  </si>
  <si>
    <t>ECセンターフラグを追加</t>
    <rPh sb="10" eb="12">
      <t>ツイカ</t>
    </rPh>
    <phoneticPr fontId="2"/>
  </si>
  <si>
    <t>SO刑</t>
    <rPh sb="2" eb="3">
      <t>ケイ</t>
    </rPh>
    <phoneticPr fontId="2"/>
  </si>
  <si>
    <t>update_status</t>
    <phoneticPr fontId="22"/>
  </si>
  <si>
    <t>index_code</t>
    <phoneticPr fontId="22"/>
  </si>
  <si>
    <t>index_name</t>
    <phoneticPr fontId="22"/>
  </si>
  <si>
    <t>items_code</t>
    <phoneticPr fontId="22"/>
  </si>
  <si>
    <t>items_name</t>
    <phoneticPr fontId="22"/>
  </si>
  <si>
    <t>string_1</t>
  </si>
  <si>
    <t>string_2</t>
  </si>
  <si>
    <t>string_3</t>
  </si>
  <si>
    <t>string_4</t>
  </si>
  <si>
    <t>string_5</t>
  </si>
  <si>
    <t>string_6</t>
  </si>
  <si>
    <t>string_7</t>
  </si>
  <si>
    <t>string_8</t>
  </si>
  <si>
    <t>string_9</t>
  </si>
  <si>
    <t>string_10</t>
  </si>
  <si>
    <t>number_1</t>
  </si>
  <si>
    <t>datetime_1</t>
  </si>
  <si>
    <t>datetime_2</t>
  </si>
  <si>
    <t>datetime_3</t>
  </si>
  <si>
    <t>datetime_4</t>
  </si>
  <si>
    <t>datetime_5</t>
  </si>
  <si>
    <t>datetime_6</t>
  </si>
  <si>
    <t>datetime_7</t>
  </si>
  <si>
    <t>datetime_8</t>
  </si>
  <si>
    <t>datetime_9</t>
  </si>
  <si>
    <t>datetime_10</t>
  </si>
  <si>
    <t>timing_1_1</t>
  </si>
  <si>
    <t>timing_1_2</t>
  </si>
  <si>
    <t>timing_1_3</t>
  </si>
  <si>
    <t>timing_2_1</t>
  </si>
  <si>
    <t>timing_2_2</t>
  </si>
  <si>
    <t>timing_2_3</t>
  </si>
  <si>
    <t>remarks_1</t>
    <phoneticPr fontId="22"/>
  </si>
  <si>
    <t>remarks_2</t>
    <phoneticPr fontId="22"/>
  </si>
  <si>
    <t>valid_status</t>
    <phoneticPr fontId="22"/>
  </si>
  <si>
    <t>status_1</t>
  </si>
  <si>
    <t>status_2</t>
  </si>
  <si>
    <t>status_3</t>
  </si>
  <si>
    <t>status_4</t>
  </si>
  <si>
    <t>status_5</t>
  </si>
  <si>
    <t>status_6</t>
  </si>
  <si>
    <t>status_7</t>
  </si>
  <si>
    <t>status_8</t>
  </si>
  <si>
    <t>status_9</t>
  </si>
  <si>
    <t>status_10</t>
  </si>
  <si>
    <t>items_1</t>
  </si>
  <si>
    <t>items_2</t>
  </si>
  <si>
    <t>items_3</t>
  </si>
  <si>
    <t>items_4</t>
  </si>
  <si>
    <t>items_5</t>
  </si>
  <si>
    <t>items_6</t>
  </si>
  <si>
    <t>items_7</t>
  </si>
  <si>
    <t>items_8</t>
  </si>
  <si>
    <t>items_9</t>
  </si>
  <si>
    <t>items_10</t>
  </si>
  <si>
    <t>numerical_value_1</t>
  </si>
  <si>
    <t>numerical_value_2</t>
  </si>
  <si>
    <t>numerical_value_3</t>
  </si>
  <si>
    <t>numerical_value_4</t>
  </si>
  <si>
    <t>numerical_value_5</t>
  </si>
  <si>
    <t>numerical_value_6</t>
  </si>
  <si>
    <t>numerical_value_7</t>
  </si>
  <si>
    <t>numerical_value_8</t>
  </si>
  <si>
    <t>numerical_value_9</t>
  </si>
  <si>
    <t>numerical_value_10</t>
  </si>
  <si>
    <t>汎用マスタ</t>
    <rPh sb="0" eb="2">
      <t>ハンヨウ</t>
    </rPh>
    <phoneticPr fontId="2"/>
  </si>
  <si>
    <t>フィールド名（alphabet）を定義</t>
    <rPh sb="17" eb="19">
      <t>テイギ</t>
    </rPh>
    <phoneticPr fontId="2"/>
  </si>
  <si>
    <t>アンケート回答区分</t>
    <phoneticPr fontId="2"/>
  </si>
  <si>
    <t>0:複数回回答不可、
1:複数回回答可</t>
    <phoneticPr fontId="2"/>
  </si>
  <si>
    <t>販売開始日時</t>
    <rPh sb="0" eb="2">
      <t>ハンバイ</t>
    </rPh>
    <rPh sb="2" eb="4">
      <t>カイシ</t>
    </rPh>
    <rPh sb="4" eb="6">
      <t>ニチジ</t>
    </rPh>
    <phoneticPr fontId="13"/>
  </si>
  <si>
    <t>販売終了日時</t>
    <rPh sb="0" eb="2">
      <t>ハンバイ</t>
    </rPh>
    <rPh sb="2" eb="4">
      <t>シュウリョウ</t>
    </rPh>
    <rPh sb="4" eb="6">
      <t>ニチジ</t>
    </rPh>
    <phoneticPr fontId="13"/>
  </si>
  <si>
    <t>sales_term_from</t>
    <phoneticPr fontId="2"/>
  </si>
  <si>
    <t>sales_term_to</t>
    <phoneticPr fontId="2"/>
  </si>
  <si>
    <t>アンケートマスタ</t>
    <phoneticPr fontId="2"/>
  </si>
  <si>
    <t>unique_id</t>
    <phoneticPr fontId="2"/>
  </si>
  <si>
    <t>アンケートマスタのunique_id、sales_term_from、sales_term_to</t>
    <phoneticPr fontId="2"/>
  </si>
  <si>
    <t>アンケートマスタ履歴</t>
    <rPh sb="8" eb="10">
      <t>リレキ</t>
    </rPh>
    <phoneticPr fontId="2"/>
  </si>
  <si>
    <t>アンケートマスタ履歴のsales_term_from、sales_term_to</t>
    <rPh sb="8" eb="10">
      <t>リレキ</t>
    </rPh>
    <phoneticPr fontId="2"/>
  </si>
  <si>
    <t>CSV出力用</t>
    <rPh sb="3" eb="5">
      <t>シュツリョク</t>
    </rPh>
    <rPh sb="5" eb="6">
      <t>ヨウ</t>
    </rPh>
    <phoneticPr fontId="2"/>
  </si>
  <si>
    <t>quest_id</t>
    <phoneticPr fontId="2"/>
  </si>
  <si>
    <t>quest_type</t>
    <phoneticPr fontId="2"/>
  </si>
  <si>
    <t>quest_title</t>
    <phoneticPr fontId="2"/>
  </si>
  <si>
    <t>SO榮森</t>
    <rPh sb="2" eb="4">
      <t>エイモリ</t>
    </rPh>
    <phoneticPr fontId="2"/>
  </si>
  <si>
    <t>property2</t>
    <phoneticPr fontId="2"/>
  </si>
  <si>
    <r>
      <rPr>
        <strike/>
        <sz val="9"/>
        <color rgb="FFFF0000"/>
        <rFont val="Meiryo UI"/>
        <family val="3"/>
        <charset val="128"/>
      </rPr>
      <t>暗号化区分</t>
    </r>
    <r>
      <rPr>
        <sz val="9"/>
        <color rgb="FFFF0000"/>
        <rFont val="Meiryo UI"/>
        <family val="3"/>
        <charset val="128"/>
      </rPr>
      <t xml:space="preserve">
送信用メール文書ID</t>
    </r>
    <rPh sb="6" eb="9">
      <t>ソウシンヨウ</t>
    </rPh>
    <rPh sb="12" eb="14">
      <t>ブンショ</t>
    </rPh>
    <phoneticPr fontId="2"/>
  </si>
  <si>
    <t>property3</t>
    <phoneticPr fontId="2"/>
  </si>
  <si>
    <t>「property1」を送信用メール文書IDに修正、「property3」のアンケート回答区分が未使用のため削除</t>
    <rPh sb="12" eb="15">
      <t>ソウシンヨウ</t>
    </rPh>
    <rPh sb="18" eb="20">
      <t>ブンショ</t>
    </rPh>
    <rPh sb="23" eb="25">
      <t>シュウセイ</t>
    </rPh>
    <rPh sb="43" eb="47">
      <t>カイトウクブン</t>
    </rPh>
    <rPh sb="48" eb="51">
      <t>ミシヨウ</t>
    </rPh>
    <rPh sb="54" eb="56">
      <t>サクジョ</t>
    </rPh>
    <phoneticPr fontId="2"/>
  </si>
  <si>
    <t>「property1」を送信用メール文書IDに修正</t>
    <rPh sb="12" eb="15">
      <t>ソウシンヨウ</t>
    </rPh>
    <rPh sb="18" eb="20">
      <t>ブンショ</t>
    </rPh>
    <rPh sb="23" eb="25">
      <t>シュウセイ</t>
    </rPh>
    <phoneticPr fontId="2"/>
  </si>
  <si>
    <r>
      <rPr>
        <strike/>
        <sz val="9"/>
        <color rgb="FFFF0000"/>
        <rFont val="Meiryo UI"/>
        <family val="3"/>
        <charset val="128"/>
      </rPr>
      <t>L(100)Eq</t>
    </r>
    <r>
      <rPr>
        <sz val="9"/>
        <color rgb="FFFF0000"/>
        <rFont val="Meiryo UI"/>
        <family val="3"/>
        <charset val="128"/>
      </rPr>
      <t>L(100)A[_]Eq</t>
    </r>
    <phoneticPr fontId="2"/>
  </si>
  <si>
    <t>NL(40)Eq</t>
    <phoneticPr fontId="2"/>
  </si>
  <si>
    <t>NL(50)Eq</t>
    <phoneticPr fontId="2"/>
  </si>
  <si>
    <t>NL(255)Eq</t>
    <phoneticPr fontId="2"/>
  </si>
  <si>
    <t>オペレータ管理</t>
    <rPh sb="5" eb="7">
      <t>カンリ</t>
    </rPh>
    <phoneticPr fontId="2"/>
  </si>
  <si>
    <t>uc_promo</t>
  </si>
  <si>
    <t>管理オペレータ管理用テーブル</t>
    <rPh sb="0" eb="2">
      <t>カンリ</t>
    </rPh>
    <rPh sb="7" eb="10">
      <t>カンリヨウ</t>
    </rPh>
    <phoneticPr fontId="2"/>
  </si>
  <si>
    <t>内部ＩＤ</t>
    <rPh sb="0" eb="2">
      <t>ナイブ</t>
    </rPh>
    <phoneticPr fontId="2"/>
  </si>
  <si>
    <t>内部ユニークＩＤ</t>
    <rPh sb="0" eb="2">
      <t>ナイブ</t>
    </rPh>
    <phoneticPr fontId="2"/>
  </si>
  <si>
    <t>管理店舗ＩＤ</t>
    <rPh sb="0" eb="2">
      <t>カンリ</t>
    </rPh>
    <rPh sb="2" eb="4">
      <t>テンポ</t>
    </rPh>
    <phoneticPr fontId="2"/>
  </si>
  <si>
    <t>オペレータＩＤ</t>
  </si>
  <si>
    <t>パスワード</t>
  </si>
  <si>
    <t>password</t>
  </si>
  <si>
    <t>オペレータＩＤ1</t>
  </si>
  <si>
    <t>operator_id1</t>
  </si>
  <si>
    <t>オペレータＩＤ1パスワード</t>
  </si>
  <si>
    <t>operator_password1</t>
  </si>
  <si>
    <t>オペレータＩＤ2</t>
  </si>
  <si>
    <t>operator_id2</t>
  </si>
  <si>
    <t>オペレータＩＤ2パスワード</t>
  </si>
  <si>
    <t>operator_password2</t>
  </si>
  <si>
    <t>オペレータＩＤ3</t>
  </si>
  <si>
    <t>operator_id3</t>
  </si>
  <si>
    <t>オペレータＩＤ3パスワード</t>
  </si>
  <si>
    <t>operator_password3</t>
  </si>
  <si>
    <t>オペレータＩＤ4</t>
  </si>
  <si>
    <t>operator_id4</t>
  </si>
  <si>
    <t>オペレータＩＤ4パスワード</t>
  </si>
  <si>
    <t>operator_password4</t>
  </si>
  <si>
    <t>オペレータＩＤ5</t>
  </si>
  <si>
    <t>operator_id5</t>
  </si>
  <si>
    <t>オペレータＩＤ5パスワード</t>
  </si>
  <si>
    <t>operator_password5</t>
  </si>
  <si>
    <t>オペレータタイプ</t>
  </si>
  <si>
    <t>operator_type</t>
  </si>
  <si>
    <t>グループID</t>
  </si>
  <si>
    <t>メイングループID</t>
  </si>
  <si>
    <t>main_group_id</t>
  </si>
  <si>
    <t>access_authority</t>
  </si>
  <si>
    <t>キャリア種別</t>
    <rPh sb="4" eb="6">
      <t>シュベツ</t>
    </rPh>
    <phoneticPr fontId="2"/>
  </si>
  <si>
    <t>mail_address_kind</t>
  </si>
  <si>
    <t>メールアドレス２（サブ）</t>
  </si>
  <si>
    <t>mail_address2</t>
  </si>
  <si>
    <t>キャリア種別２</t>
    <rPh sb="4" eb="6">
      <t>シュベツ</t>
    </rPh>
    <phoneticPr fontId="2"/>
  </si>
  <si>
    <t>mail_address_kind2</t>
  </si>
  <si>
    <t>メールアドレス３（モバイル）</t>
  </si>
  <si>
    <t>mail_address3</t>
  </si>
  <si>
    <t>キャリア種別３</t>
    <rPh sb="4" eb="6">
      <t>シュベツ</t>
    </rPh>
    <phoneticPr fontId="2"/>
  </si>
  <si>
    <t>mail_address_kind3</t>
  </si>
  <si>
    <t>オペレータ名(姓）</t>
    <rPh sb="5" eb="6">
      <t>メイ</t>
    </rPh>
    <rPh sb="7" eb="8">
      <t>セイ</t>
    </rPh>
    <phoneticPr fontId="2"/>
  </si>
  <si>
    <t>last_name</t>
  </si>
  <si>
    <t>オペレータ名(名）</t>
    <rPh sb="5" eb="6">
      <t>メイ</t>
    </rPh>
    <rPh sb="7" eb="8">
      <t>メイ</t>
    </rPh>
    <phoneticPr fontId="2"/>
  </si>
  <si>
    <t>first_name</t>
  </si>
  <si>
    <t>オペレータ名</t>
    <rPh sb="5" eb="6">
      <t>メイ</t>
    </rPh>
    <phoneticPr fontId="2"/>
  </si>
  <si>
    <t>オペレータ名かな（姓）</t>
    <rPh sb="5" eb="6">
      <t>メイ</t>
    </rPh>
    <rPh sb="9" eb="10">
      <t>セイ</t>
    </rPh>
    <phoneticPr fontId="2"/>
  </si>
  <si>
    <t>name_kana_last</t>
  </si>
  <si>
    <t>オペレータ名かな（名）</t>
    <rPh sb="5" eb="6">
      <t>メイ</t>
    </rPh>
    <rPh sb="9" eb="10">
      <t>メイ</t>
    </rPh>
    <phoneticPr fontId="2"/>
  </si>
  <si>
    <t>name_kana_first</t>
  </si>
  <si>
    <t>オペレータ名かな</t>
    <rPh sb="5" eb="6">
      <t>メイ</t>
    </rPh>
    <phoneticPr fontId="2"/>
  </si>
  <si>
    <t>name_kana</t>
  </si>
  <si>
    <t>パスワードリマインダ</t>
  </si>
  <si>
    <t>password_reminder_key</t>
  </si>
  <si>
    <t>パスワードリマインダ有効期限</t>
    <rPh sb="10" eb="12">
      <t>ユウコウ</t>
    </rPh>
    <rPh sb="12" eb="14">
      <t>キゲン</t>
    </rPh>
    <phoneticPr fontId="2"/>
  </si>
  <si>
    <t>password_reminder_expire</t>
  </si>
  <si>
    <t>リマインダ２</t>
  </si>
  <si>
    <t>reminder_key2</t>
  </si>
  <si>
    <t>リマインダ有効期限２</t>
    <rPh sb="5" eb="7">
      <t>ユウコウ</t>
    </rPh>
    <rPh sb="7" eb="9">
      <t>キゲン</t>
    </rPh>
    <phoneticPr fontId="2"/>
  </si>
  <si>
    <t>reminder_expire2</t>
  </si>
  <si>
    <t>リマインダ３</t>
  </si>
  <si>
    <t>reminder_key3</t>
  </si>
  <si>
    <t>リマインダ有効期限３</t>
    <rPh sb="5" eb="7">
      <t>ユウコウ</t>
    </rPh>
    <rPh sb="7" eb="9">
      <t>キゲン</t>
    </rPh>
    <phoneticPr fontId="2"/>
  </si>
  <si>
    <t>reminder_expire3</t>
  </si>
  <si>
    <t>リマインダ４</t>
  </si>
  <si>
    <t>reminder_key4</t>
  </si>
  <si>
    <t>リマインダ有効期限４</t>
    <rPh sb="5" eb="7">
      <t>ユウコウ</t>
    </rPh>
    <rPh sb="7" eb="9">
      <t>キゲン</t>
    </rPh>
    <phoneticPr fontId="2"/>
  </si>
  <si>
    <t>reminder_expire4</t>
  </si>
  <si>
    <t>リマインダ５</t>
  </si>
  <si>
    <t>reminder_key5</t>
  </si>
  <si>
    <t>リマインダ有効期限５</t>
    <rPh sb="5" eb="7">
      <t>ユウコウ</t>
    </rPh>
    <rPh sb="7" eb="9">
      <t>キゲン</t>
    </rPh>
    <phoneticPr fontId="2"/>
  </si>
  <si>
    <t>reminder_expire5</t>
  </si>
  <si>
    <t>リマインダ６</t>
  </si>
  <si>
    <t>reminder_key6</t>
  </si>
  <si>
    <t>リマインダ有効期限６</t>
    <rPh sb="5" eb="7">
      <t>ユウコウ</t>
    </rPh>
    <rPh sb="7" eb="9">
      <t>キゲン</t>
    </rPh>
    <phoneticPr fontId="2"/>
  </si>
  <si>
    <t>reminder_expire6</t>
  </si>
  <si>
    <t>リマインダ７</t>
  </si>
  <si>
    <t>reminder_key7</t>
  </si>
  <si>
    <t>リマインダ有効期限７</t>
    <rPh sb="5" eb="7">
      <t>ユウコウ</t>
    </rPh>
    <rPh sb="7" eb="9">
      <t>キゲン</t>
    </rPh>
    <phoneticPr fontId="2"/>
  </si>
  <si>
    <t>reminder_expire7</t>
  </si>
  <si>
    <t>リマインダ８</t>
  </si>
  <si>
    <t>reminder_key8</t>
  </si>
  <si>
    <t>リマインダ有効期限８</t>
    <rPh sb="5" eb="7">
      <t>ユウコウ</t>
    </rPh>
    <rPh sb="7" eb="9">
      <t>キゲン</t>
    </rPh>
    <phoneticPr fontId="2"/>
  </si>
  <si>
    <t>reminder_expire8</t>
  </si>
  <si>
    <t>リマインダ９</t>
  </si>
  <si>
    <t>reminder_key9</t>
  </si>
  <si>
    <t>リマインダ有効期限９</t>
    <rPh sb="5" eb="7">
      <t>ユウコウ</t>
    </rPh>
    <rPh sb="7" eb="9">
      <t>キゲン</t>
    </rPh>
    <phoneticPr fontId="2"/>
  </si>
  <si>
    <t>reminder_expire9</t>
  </si>
  <si>
    <t>リマインダ１０</t>
  </si>
  <si>
    <t>reminder_key10</t>
  </si>
  <si>
    <t>リマインダ有効期限１０</t>
    <rPh sb="5" eb="7">
      <t>ユウコウ</t>
    </rPh>
    <rPh sb="7" eb="9">
      <t>キゲン</t>
    </rPh>
    <phoneticPr fontId="2"/>
  </si>
  <si>
    <t>reminder_expire10</t>
  </si>
  <si>
    <t>秘密のパスワード（質問）</t>
    <rPh sb="0" eb="2">
      <t>ヒミツ</t>
    </rPh>
    <rPh sb="9" eb="11">
      <t>シツモン</t>
    </rPh>
    <phoneticPr fontId="2"/>
  </si>
  <si>
    <t>secret_password_question</t>
  </si>
  <si>
    <t>秘密のパスワード（回答）</t>
    <rPh sb="0" eb="2">
      <t>ヒミツ</t>
    </rPh>
    <rPh sb="9" eb="11">
      <t>カイトウ</t>
    </rPh>
    <phoneticPr fontId="2"/>
  </si>
  <si>
    <t>secret_password_answer</t>
  </si>
  <si>
    <t>次回パスワード変更F</t>
    <rPh sb="0" eb="2">
      <t>ジカイ</t>
    </rPh>
    <rPh sb="7" eb="9">
      <t>ヘンコウ</t>
    </rPh>
    <phoneticPr fontId="2"/>
  </si>
  <si>
    <t>next_password_change_flag</t>
  </si>
  <si>
    <t>パスワード有効期限</t>
    <rPh sb="5" eb="7">
      <t>ユウコウ</t>
    </rPh>
    <rPh sb="7" eb="9">
      <t>キゲン</t>
    </rPh>
    <phoneticPr fontId="2"/>
  </si>
  <si>
    <t>password_expire</t>
  </si>
  <si>
    <t>ログイン失敗回数</t>
    <rPh sb="4" eb="6">
      <t>シッパイ</t>
    </rPh>
    <rPh sb="6" eb="8">
      <t>カイスウ</t>
    </rPh>
    <phoneticPr fontId="2"/>
  </si>
  <si>
    <t>login_failed_count</t>
  </si>
  <si>
    <t>ログインロックF</t>
  </si>
  <si>
    <t>login_lock_flag</t>
  </si>
  <si>
    <t>ログインロック期限</t>
    <rPh sb="7" eb="9">
      <t>キゲン</t>
    </rPh>
    <phoneticPr fontId="2"/>
  </si>
  <si>
    <t>login_lock_expire</t>
  </si>
  <si>
    <t>ログインタイプ</t>
  </si>
  <si>
    <t>login_type</t>
  </si>
  <si>
    <t>モバイルUID</t>
  </si>
  <si>
    <t>mobile_user_id</t>
  </si>
  <si>
    <t>モバイル機種固有ID</t>
    <rPh sb="4" eb="6">
      <t>キシュ</t>
    </rPh>
    <rPh sb="6" eb="8">
      <t>コユウ</t>
    </rPh>
    <phoneticPr fontId="5"/>
  </si>
  <si>
    <t>mobile_device_id</t>
  </si>
  <si>
    <t>アカウント一時停止F</t>
    <rPh sb="5" eb="7">
      <t>イチジ</t>
    </rPh>
    <rPh sb="7" eb="9">
      <t>テイシ</t>
    </rPh>
    <phoneticPr fontId="2"/>
  </si>
  <si>
    <t>active_flag</t>
  </si>
  <si>
    <t>ログイン回数</t>
    <rPh sb="4" eb="6">
      <t>カイスウ</t>
    </rPh>
    <phoneticPr fontId="2"/>
  </si>
  <si>
    <t>login_count</t>
  </si>
  <si>
    <t>最終ログイン日付</t>
    <rPh sb="0" eb="2">
      <t>サイシュウ</t>
    </rPh>
    <rPh sb="6" eb="8">
      <t>ヒヅケ</t>
    </rPh>
    <phoneticPr fontId="2"/>
  </si>
  <si>
    <t>last_login_date</t>
  </si>
  <si>
    <t>ユーザエージェント</t>
  </si>
  <si>
    <t>user_agent</t>
  </si>
  <si>
    <t>ニックネーム</t>
  </si>
  <si>
    <t>nickname</t>
  </si>
  <si>
    <t>現居住国コード</t>
  </si>
  <si>
    <t>country_code</t>
  </si>
  <si>
    <t>出身国コード</t>
  </si>
  <si>
    <t>from_country_code</t>
  </si>
  <si>
    <t>全国地方公共団体コード</t>
  </si>
  <si>
    <t>address_jis_code</t>
  </si>
  <si>
    <t>郵便番号</t>
    <rPh sb="0" eb="4">
      <t>ユウビンバンゴウ</t>
    </rPh>
    <phoneticPr fontId="5"/>
  </si>
  <si>
    <t>zip</t>
  </si>
  <si>
    <t>都道府県</t>
    <rPh sb="0" eb="4">
      <t>トドウフケン</t>
    </rPh>
    <phoneticPr fontId="5"/>
  </si>
  <si>
    <t>address_ken</t>
  </si>
  <si>
    <t>住所２</t>
    <rPh sb="0" eb="2">
      <t>ジュウショ</t>
    </rPh>
    <phoneticPr fontId="5"/>
  </si>
  <si>
    <t>address2</t>
  </si>
  <si>
    <t>住所３</t>
    <rPh sb="0" eb="2">
      <t>ジュウショ</t>
    </rPh>
    <phoneticPr fontId="5"/>
  </si>
  <si>
    <t>address3</t>
  </si>
  <si>
    <t>住所４</t>
    <rPh sb="0" eb="2">
      <t>ジュウショ</t>
    </rPh>
    <phoneticPr fontId="5"/>
  </si>
  <si>
    <t>address4</t>
  </si>
  <si>
    <t>電話番号</t>
    <rPh sb="0" eb="2">
      <t>デンワ</t>
    </rPh>
    <rPh sb="2" eb="4">
      <t>バンゴウ</t>
    </rPh>
    <phoneticPr fontId="5"/>
  </si>
  <si>
    <t>tel_no</t>
  </si>
  <si>
    <t>FAX番号</t>
    <rPh sb="3" eb="5">
      <t>バンゴウ</t>
    </rPh>
    <phoneticPr fontId="5"/>
  </si>
  <si>
    <t>fax_no</t>
  </si>
  <si>
    <t>携帯番号</t>
    <rPh sb="0" eb="2">
      <t>ケイタイ</t>
    </rPh>
    <rPh sb="2" eb="4">
      <t>バンゴウ</t>
    </rPh>
    <phoneticPr fontId="5"/>
  </si>
  <si>
    <t>mobile_no</t>
  </si>
  <si>
    <t>職業</t>
    <rPh sb="0" eb="2">
      <t>ショクギョウ</t>
    </rPh>
    <phoneticPr fontId="5"/>
  </si>
  <si>
    <t>occupation</t>
  </si>
  <si>
    <t>性別</t>
    <rPh sb="0" eb="2">
      <t>セイベツ</t>
    </rPh>
    <phoneticPr fontId="5"/>
  </si>
  <si>
    <t>seibetsu</t>
  </si>
  <si>
    <t>生年月日（年）</t>
    <rPh sb="0" eb="4">
      <t>セイネンガッピ</t>
    </rPh>
    <rPh sb="5" eb="6">
      <t>ネン</t>
    </rPh>
    <phoneticPr fontId="5"/>
  </si>
  <si>
    <t>birthday_year</t>
  </si>
  <si>
    <t>生年月日（月）</t>
    <rPh sb="0" eb="4">
      <t>セイネンガッピ</t>
    </rPh>
    <rPh sb="5" eb="6">
      <t>ツキ</t>
    </rPh>
    <phoneticPr fontId="5"/>
  </si>
  <si>
    <t>birthday_month</t>
  </si>
  <si>
    <t>生年月日（日）</t>
    <rPh sb="0" eb="4">
      <t>セイネンガッピ</t>
    </rPh>
    <rPh sb="5" eb="6">
      <t>ヒ</t>
    </rPh>
    <phoneticPr fontId="5"/>
  </si>
  <si>
    <t>birthday_date</t>
  </si>
  <si>
    <t>年齢</t>
    <rPh sb="0" eb="2">
      <t>ネンレイ</t>
    </rPh>
    <phoneticPr fontId="2"/>
  </si>
  <si>
    <t>age</t>
  </si>
  <si>
    <t>会社名称</t>
    <rPh sb="0" eb="2">
      <t>カイシャ</t>
    </rPh>
    <rPh sb="2" eb="4">
      <t>メイショウ</t>
    </rPh>
    <phoneticPr fontId="5"/>
  </si>
  <si>
    <t>company_name</t>
  </si>
  <si>
    <t>所属部署</t>
    <rPh sb="0" eb="2">
      <t>ショゾク</t>
    </rPh>
    <rPh sb="2" eb="4">
      <t>ブショ</t>
    </rPh>
    <phoneticPr fontId="5"/>
  </si>
  <si>
    <t>company_busho</t>
  </si>
  <si>
    <t>役職</t>
    <rPh sb="0" eb="2">
      <t>ヤクショク</t>
    </rPh>
    <phoneticPr fontId="5"/>
  </si>
  <si>
    <t>company_post</t>
  </si>
  <si>
    <t>会社郵便番号</t>
    <rPh sb="0" eb="2">
      <t>カイシャ</t>
    </rPh>
    <rPh sb="2" eb="6">
      <t>ユウビンバンゴウ</t>
    </rPh>
    <phoneticPr fontId="5"/>
  </si>
  <si>
    <t>company_zip</t>
  </si>
  <si>
    <t>会社住所（都道府県）</t>
    <rPh sb="0" eb="2">
      <t>カイシャ</t>
    </rPh>
    <rPh sb="2" eb="4">
      <t>ジュウショ</t>
    </rPh>
    <rPh sb="5" eb="9">
      <t>トドウフケン</t>
    </rPh>
    <phoneticPr fontId="5"/>
  </si>
  <si>
    <t>company_address_ken</t>
  </si>
  <si>
    <t>会社住所２</t>
    <rPh sb="0" eb="2">
      <t>カイシャ</t>
    </rPh>
    <rPh sb="2" eb="4">
      <t>ジュウショ</t>
    </rPh>
    <phoneticPr fontId="5"/>
  </si>
  <si>
    <t>company_address2</t>
  </si>
  <si>
    <t>会社住所３</t>
    <rPh sb="0" eb="2">
      <t>カイシャ</t>
    </rPh>
    <rPh sb="2" eb="4">
      <t>ジュウショ</t>
    </rPh>
    <phoneticPr fontId="5"/>
  </si>
  <si>
    <t>company_address3</t>
  </si>
  <si>
    <t>会社住所４</t>
    <rPh sb="0" eb="2">
      <t>カイシャ</t>
    </rPh>
    <rPh sb="2" eb="4">
      <t>ジュウショ</t>
    </rPh>
    <phoneticPr fontId="5"/>
  </si>
  <si>
    <t>company_address4</t>
  </si>
  <si>
    <t>会社電話番号</t>
    <rPh sb="0" eb="2">
      <t>カイシャ</t>
    </rPh>
    <rPh sb="2" eb="4">
      <t>デンワ</t>
    </rPh>
    <rPh sb="4" eb="6">
      <t>バンゴウ</t>
    </rPh>
    <phoneticPr fontId="5"/>
  </si>
  <si>
    <t>company_tel_no</t>
  </si>
  <si>
    <t>会社FAX番号</t>
    <rPh sb="0" eb="2">
      <t>カイシャ</t>
    </rPh>
    <rPh sb="5" eb="7">
      <t>バンゴウ</t>
    </rPh>
    <phoneticPr fontId="5"/>
  </si>
  <si>
    <t>company_fax_no</t>
  </si>
  <si>
    <t>画像パス1</t>
    <rPh sb="0" eb="2">
      <t>ガゾウ</t>
    </rPh>
    <phoneticPr fontId="2"/>
  </si>
  <si>
    <t>picture_path_1</t>
  </si>
  <si>
    <t>画像パス2</t>
    <rPh sb="0" eb="2">
      <t>ガゾウ</t>
    </rPh>
    <phoneticPr fontId="2"/>
  </si>
  <si>
    <t>picture_path_2</t>
  </si>
  <si>
    <t>画像パス3</t>
    <rPh sb="0" eb="2">
      <t>ガゾウ</t>
    </rPh>
    <phoneticPr fontId="2"/>
  </si>
  <si>
    <t>picture_path_3</t>
  </si>
  <si>
    <t>(1,1)</t>
  </si>
  <si>
    <t>NAL(40)Eq</t>
  </si>
  <si>
    <t>NAL(8)Eq</t>
  </si>
  <si>
    <t>(getdate())</t>
  </si>
  <si>
    <t>0L(50)Eq</t>
  </si>
  <si>
    <t>L(50)S[DEL]Eq</t>
  </si>
  <si>
    <t>GUID(32桁）
※システムで使用するユニークキー</t>
    <rPh sb="7" eb="8">
      <t>ケタ</t>
    </rPh>
    <rPh sb="16" eb="18">
      <t>シヨウ</t>
    </rPh>
    <phoneticPr fontId="2"/>
  </si>
  <si>
    <t>オペレータＩＤ（UCFオペレータID）</t>
  </si>
  <si>
    <t>社員コード</t>
    <rPh sb="0" eb="2">
      <t>シャイン</t>
    </rPh>
    <phoneticPr fontId="2"/>
  </si>
  <si>
    <t>(empty)：一般
ADMIN：管理者</t>
    <rPh sb="17" eb="20">
      <t>カンリシャ</t>
    </rPh>
    <phoneticPr fontId="2"/>
  </si>
  <si>
    <t>管理画面メールアドレス</t>
    <rPh sb="0" eb="4">
      <t>カンリガメン</t>
    </rPh>
    <phoneticPr fontId="2"/>
  </si>
  <si>
    <t>社員名称</t>
    <rPh sb="0" eb="2">
      <t>シャイン</t>
    </rPh>
    <rPh sb="2" eb="4">
      <t>メイショウ</t>
    </rPh>
    <phoneticPr fontId="2"/>
  </si>
  <si>
    <t>所属コード</t>
    <rPh sb="0" eb="2">
      <t>ショゾク</t>
    </rPh>
    <phoneticPr fontId="2"/>
  </si>
  <si>
    <t>所属名称</t>
    <rPh sb="0" eb="2">
      <t>ショゾク</t>
    </rPh>
    <rPh sb="2" eb="4">
      <t>メイショウ</t>
    </rPh>
    <phoneticPr fontId="2"/>
  </si>
  <si>
    <t>法人コード（３桁）</t>
    <rPh sb="0" eb="2">
      <t>ホウジン</t>
    </rPh>
    <rPh sb="7" eb="8">
      <t>ケタ</t>
    </rPh>
    <phoneticPr fontId="2"/>
  </si>
  <si>
    <t>店舗コード（最大４桁）</t>
    <rPh sb="0" eb="2">
      <t>テンポ</t>
    </rPh>
    <rPh sb="6" eb="8">
      <t>サイダイ</t>
    </rPh>
    <rPh sb="9" eb="10">
      <t>ケタ</t>
    </rPh>
    <phoneticPr fontId="2"/>
  </si>
  <si>
    <t>オペレータ区分</t>
    <rPh sb="5" eb="7">
      <t>クブン</t>
    </rPh>
    <phoneticPr fontId="2"/>
  </si>
  <si>
    <t>有効区分更新日時</t>
    <rPh sb="0" eb="2">
      <t>ユウコウ</t>
    </rPh>
    <rPh sb="2" eb="4">
      <t>クブン</t>
    </rPh>
    <rPh sb="4" eb="6">
      <t>コウシン</t>
    </rPh>
    <rPh sb="6" eb="8">
      <t>ニチジ</t>
    </rPh>
    <phoneticPr fontId="2"/>
  </si>
  <si>
    <t>社員情報更新日</t>
    <rPh sb="0" eb="2">
      <t>シャイン</t>
    </rPh>
    <rPh sb="2" eb="4">
      <t>ジョウホウ</t>
    </rPh>
    <rPh sb="4" eb="7">
      <t>コウシンビ</t>
    </rPh>
    <phoneticPr fontId="2"/>
  </si>
  <si>
    <t>（削除=DEL）</t>
  </si>
  <si>
    <t>次期ECでは必須とし、従業員マスタの所属と一致することが必要</t>
    <rPh sb="0" eb="2">
      <t>ジキ</t>
    </rPh>
    <rPh sb="6" eb="8">
      <t>ヒッス</t>
    </rPh>
    <rPh sb="11" eb="14">
      <t>ジュウギョウイン</t>
    </rPh>
    <rPh sb="18" eb="20">
      <t>ショゾク</t>
    </rPh>
    <rPh sb="21" eb="23">
      <t>イッチ</t>
    </rPh>
    <rPh sb="28" eb="30">
      <t>ヒツヨウ</t>
    </rPh>
    <phoneticPr fontId="2"/>
  </si>
  <si>
    <t>01：有効、02：失効予定、03：失効、04：退職</t>
    <rPh sb="3" eb="5">
      <t>ユウコウ</t>
    </rPh>
    <rPh sb="9" eb="11">
      <t>シッコウ</t>
    </rPh>
    <rPh sb="11" eb="13">
      <t>ヨテイ</t>
    </rPh>
    <rPh sb="17" eb="19">
      <t>シッコウ</t>
    </rPh>
    <rPh sb="23" eb="25">
      <t>タイショク</t>
    </rPh>
    <phoneticPr fontId="2"/>
  </si>
  <si>
    <t>01：販売員、02：ベンダ</t>
    <rPh sb="3" eb="6">
      <t>ハンバイイン</t>
    </rPh>
    <phoneticPr fontId="2"/>
  </si>
  <si>
    <t>I</t>
  </si>
  <si>
    <t>IUD</t>
  </si>
  <si>
    <t>D:DEL</t>
  </si>
  <si>
    <t>d[FULL]</t>
    <phoneticPr fontId="2"/>
  </si>
  <si>
    <t>オペレータ管理履歴</t>
    <rPh sb="5" eb="7">
      <t>カンリ</t>
    </rPh>
    <rPh sb="7" eb="9">
      <t>リレキ</t>
    </rPh>
    <phoneticPr fontId="2"/>
  </si>
  <si>
    <t>uc_promo</t>
    <phoneticPr fontId="2"/>
  </si>
  <si>
    <t>uc_promo_history</t>
    <phoneticPr fontId="2"/>
  </si>
  <si>
    <t>管理オペレータ管理用テーブル</t>
    <rPh sb="0" eb="2">
      <t>カンリ</t>
    </rPh>
    <rPh sb="7" eb="9">
      <t>カンリ</t>
    </rPh>
    <rPh sb="9" eb="10">
      <t>ヨウ</t>
    </rPh>
    <phoneticPr fontId="2"/>
  </si>
  <si>
    <t>管理オペレータ管理履歴用テーブル</t>
    <rPh sb="0" eb="2">
      <t>カンリ</t>
    </rPh>
    <rPh sb="7" eb="9">
      <t>カンリ</t>
    </rPh>
    <rPh sb="9" eb="11">
      <t>リレキ</t>
    </rPh>
    <rPh sb="11" eb="12">
      <t>ヨウ</t>
    </rPh>
    <phoneticPr fontId="2"/>
  </si>
  <si>
    <t>未定</t>
    <rPh sb="0" eb="2">
      <t>ミテイ</t>
    </rPh>
    <phoneticPr fontId="2"/>
  </si>
  <si>
    <r>
      <t>汎用アンケート設問用マスタ</t>
    </r>
    <r>
      <rPr>
        <sz val="11"/>
        <color rgb="FFFF0000"/>
        <rFont val="Meiryo UI"/>
        <family val="3"/>
        <charset val="128"/>
      </rPr>
      <t>履歴</t>
    </r>
    <rPh sb="0" eb="2">
      <t>ハンヨウ</t>
    </rPh>
    <rPh sb="7" eb="9">
      <t>セツモン</t>
    </rPh>
    <rPh sb="9" eb="10">
      <t>ヨウ</t>
    </rPh>
    <rPh sb="13" eb="15">
      <t>リレキ</t>
    </rPh>
    <phoneticPr fontId="2"/>
  </si>
  <si>
    <r>
      <t>sofmap_</t>
    </r>
    <r>
      <rPr>
        <sz val="11"/>
        <color rgb="FFFF0000"/>
        <rFont val="Meiryo UI"/>
        <family val="3"/>
        <charset val="128"/>
      </rPr>
      <t>history</t>
    </r>
    <phoneticPr fontId="2"/>
  </si>
  <si>
    <r>
      <t>uc_questionnaire_master</t>
    </r>
    <r>
      <rPr>
        <sz val="11"/>
        <color rgb="FFFF0000"/>
        <rFont val="Meiryo UI"/>
        <family val="3"/>
        <charset val="128"/>
      </rPr>
      <t>_history</t>
    </r>
    <phoneticPr fontId="2"/>
  </si>
  <si>
    <r>
      <t>アンケートマスタ</t>
    </r>
    <r>
      <rPr>
        <sz val="11"/>
        <color rgb="FFFF0000"/>
        <rFont val="Meiryo UI"/>
        <family val="3"/>
        <charset val="128"/>
      </rPr>
      <t>履歴</t>
    </r>
    <rPh sb="8" eb="10">
      <t>リレキ</t>
    </rPh>
    <phoneticPr fontId="2"/>
  </si>
  <si>
    <t>テーブル名に「履歴」「_history」などの文言を追加
履歴ID以外はアンケートマスタを参照するように修正</t>
    <rPh sb="4" eb="5">
      <t>メイ</t>
    </rPh>
    <rPh sb="7" eb="9">
      <t>リレキ</t>
    </rPh>
    <rPh sb="23" eb="25">
      <t>モンゴン</t>
    </rPh>
    <rPh sb="26" eb="28">
      <t>ツイカ</t>
    </rPh>
    <rPh sb="29" eb="31">
      <t>リレキ</t>
    </rPh>
    <rPh sb="33" eb="35">
      <t>イガイ</t>
    </rPh>
    <rPh sb="45" eb="47">
      <t>サンショウ</t>
    </rPh>
    <rPh sb="52" eb="54">
      <t>シュウセイ</t>
    </rPh>
    <phoneticPr fontId="2"/>
  </si>
  <si>
    <t>L(100)A[_]Eq</t>
    <phoneticPr fontId="2"/>
  </si>
  <si>
    <t>送信用メール文書ID</t>
    <rPh sb="0" eb="3">
      <t>ソウシンヨウ</t>
    </rPh>
    <rPh sb="6" eb="8">
      <t>ブンショ</t>
    </rPh>
    <phoneticPr fontId="2"/>
  </si>
  <si>
    <t>有効区分追加</t>
    <rPh sb="0" eb="2">
      <t>ユウコウ</t>
    </rPh>
    <rPh sb="2" eb="4">
      <t>クブン</t>
    </rPh>
    <rPh sb="4" eb="6">
      <t>ツイカ</t>
    </rPh>
    <phoneticPr fontId="2"/>
  </si>
  <si>
    <t xml:space="preserve">旧定義では暗号化区分だが次期EC(5G)では暗号化不要になる想定のため、別項目として利用。
</t>
    <rPh sb="0" eb="1">
      <t>キュウ</t>
    </rPh>
    <rPh sb="1" eb="3">
      <t>テイギ</t>
    </rPh>
    <rPh sb="5" eb="8">
      <t>アンゴウカ</t>
    </rPh>
    <rPh sb="8" eb="10">
      <t>クブン</t>
    </rPh>
    <rPh sb="12" eb="14">
      <t>ジキ</t>
    </rPh>
    <rPh sb="22" eb="25">
      <t>アンゴウカ</t>
    </rPh>
    <rPh sb="25" eb="27">
      <t>フヨウ</t>
    </rPh>
    <rPh sb="30" eb="32">
      <t>ソウテイ</t>
    </rPh>
    <rPh sb="36" eb="37">
      <t>ベツ</t>
    </rPh>
    <rPh sb="37" eb="39">
      <t>コウモク</t>
    </rPh>
    <rPh sb="42" eb="44">
      <t>リヨウ</t>
    </rPh>
    <phoneticPr fontId="2"/>
  </si>
  <si>
    <t>※バックエンド側のメールテンプレートIDが入力される想定。</t>
    <phoneticPr fontId="2"/>
  </si>
  <si>
    <t>※未指定の場合はTOの期限なし</t>
    <rPh sb="1" eb="4">
      <t>ミシテイ</t>
    </rPh>
    <rPh sb="5" eb="7">
      <t>バアイ</t>
    </rPh>
    <rPh sb="11" eb="13">
      <t>キゲン</t>
    </rPh>
    <phoneticPr fontId="2"/>
  </si>
  <si>
    <t>QUESTIONNAIRE：通常アンケート
RECEIPT_QUESTIONNAIRE：注文アンケート
LOTTERY_QUESTIONNAIRE：抽選販売用
※全て大文字で！！</t>
    <rPh sb="76" eb="78">
      <t>ハンバイ</t>
    </rPh>
    <rPh sb="78" eb="79">
      <t>ヨウ</t>
    </rPh>
    <phoneticPr fontId="2"/>
  </si>
  <si>
    <t>必須区分</t>
    <rPh sb="0" eb="2">
      <t>ヒッス</t>
    </rPh>
    <rPh sb="2" eb="4">
      <t>クブン</t>
    </rPh>
    <phoneticPr fontId="2"/>
  </si>
  <si>
    <t>required_flag</t>
    <phoneticPr fontId="2"/>
  </si>
  <si>
    <t>L(10)S[REQUIRED,OPTIONAL]Eq</t>
    <phoneticPr fontId="2"/>
  </si>
  <si>
    <t>REQUIRED：必須
OPTIONAL：任意</t>
    <rPh sb="9" eb="11">
      <t>ヒッス</t>
    </rPh>
    <rPh sb="21" eb="23">
      <t>ニンイ</t>
    </rPh>
    <phoneticPr fontId="2"/>
  </si>
  <si>
    <t>次期ECの変更
GUARANTEE(ワランティ)、PRODUCT_LEFT(共通説明部品)、ATTENTHION(注意事項)については削除。
名称変更：共通説明部品→商品詳細
名称変更：関連商品CMS→カートオプション</t>
    <rPh sb="0" eb="2">
      <t>ジキ</t>
    </rPh>
    <rPh sb="5" eb="7">
      <t>ヘンコウ</t>
    </rPh>
    <rPh sb="38" eb="40">
      <t>キョウツウ</t>
    </rPh>
    <rPh sb="40" eb="42">
      <t>セツメイ</t>
    </rPh>
    <rPh sb="42" eb="44">
      <t>ブヒン</t>
    </rPh>
    <rPh sb="57" eb="59">
      <t>チュウイ</t>
    </rPh>
    <rPh sb="59" eb="61">
      <t>ジコウ</t>
    </rPh>
    <rPh sb="67" eb="69">
      <t>サクジョ</t>
    </rPh>
    <rPh sb="71" eb="73">
      <t>メイショウ</t>
    </rPh>
    <rPh sb="73" eb="75">
      <t>ヘンコウ</t>
    </rPh>
    <rPh sb="76" eb="78">
      <t>キョウツウ</t>
    </rPh>
    <rPh sb="78" eb="80">
      <t>セツメイ</t>
    </rPh>
    <rPh sb="80" eb="82">
      <t>ブヒン</t>
    </rPh>
    <rPh sb="83" eb="85">
      <t>ショウヒン</t>
    </rPh>
    <rPh sb="85" eb="87">
      <t>ショウサイ</t>
    </rPh>
    <rPh sb="93" eb="95">
      <t>カンレン</t>
    </rPh>
    <rPh sb="95" eb="97">
      <t>ショウヒン</t>
    </rPh>
    <phoneticPr fontId="2"/>
  </si>
  <si>
    <t>商品グループ属性</t>
    <rPh sb="0" eb="2">
      <t>ショウヒン</t>
    </rPh>
    <rPh sb="6" eb="8">
      <t>ゾクセイ</t>
    </rPh>
    <phoneticPr fontId="2"/>
  </si>
  <si>
    <t>必須区分・管理更新日・管理更新者を追加</t>
    <rPh sb="0" eb="2">
      <t>ヒッス</t>
    </rPh>
    <rPh sb="2" eb="4">
      <t>クブン</t>
    </rPh>
    <rPh sb="5" eb="7">
      <t>カンリ</t>
    </rPh>
    <rPh sb="7" eb="10">
      <t>コウシンビ</t>
    </rPh>
    <rPh sb="11" eb="13">
      <t>カンリ</t>
    </rPh>
    <rPh sb="13" eb="15">
      <t>コウシン</t>
    </rPh>
    <rPh sb="15" eb="16">
      <t>シャ</t>
    </rPh>
    <rPh sb="17" eb="19">
      <t>ツイカ</t>
    </rPh>
    <phoneticPr fontId="2"/>
  </si>
  <si>
    <r>
      <t xml:space="preserve">データタイプ
</t>
    </r>
    <r>
      <rPr>
        <strike/>
        <sz val="9"/>
        <rFont val="Meiryo UI"/>
        <family val="3"/>
        <charset val="128"/>
      </rPr>
      <t xml:space="preserve">YAKKAN:約款
PRODUCT_HTML:商品説明HTML
OP_RECOMMEND_CMS：関連商品HTML
</t>
    </r>
    <r>
      <rPr>
        <sz val="9"/>
        <color rgb="FFFF0000"/>
        <rFont val="Meiryo UI"/>
        <family val="3"/>
        <charset val="128"/>
      </rPr>
      <t>PRODUCT_DETAIL:商品詳細
CART_OPTION:カートオプション</t>
    </r>
    <r>
      <rPr>
        <sz val="9"/>
        <rFont val="Meiryo UI"/>
        <family val="3"/>
        <charset val="128"/>
      </rPr>
      <t xml:space="preserve">
PRODUCT_GROUP：CMS商品グループID</t>
    </r>
    <rPh sb="30" eb="32">
      <t>ショウヒン</t>
    </rPh>
    <rPh sb="32" eb="34">
      <t>セツメイ</t>
    </rPh>
    <rPh sb="56" eb="58">
      <t>カンレン</t>
    </rPh>
    <rPh sb="58" eb="60">
      <t>ショウヒン</t>
    </rPh>
    <rPh sb="80" eb="82">
      <t>ショウヒン</t>
    </rPh>
    <rPh sb="82" eb="84">
      <t>ショウサイ</t>
    </rPh>
    <phoneticPr fontId="2"/>
  </si>
  <si>
    <t>data_typeの区分値を整理</t>
    <rPh sb="10" eb="12">
      <t>クブン</t>
    </rPh>
    <rPh sb="12" eb="13">
      <t>チ</t>
    </rPh>
    <rPh sb="14" eb="16">
      <t>セイリ</t>
    </rPh>
    <phoneticPr fontId="2"/>
  </si>
  <si>
    <t>uc_questionnaire_master</t>
    <phoneticPr fontId="2"/>
  </si>
  <si>
    <r>
      <t>各種設定等のマスタテーブル(バックエンドから連携される)　</t>
    </r>
    <r>
      <rPr>
        <sz val="11"/>
        <color rgb="FFFF0000"/>
        <rFont val="Meiryo UI"/>
        <family val="3"/>
        <charset val="128"/>
      </rPr>
      <t>※共通テーブルへ</t>
    </r>
    <rPh sb="0" eb="2">
      <t>カクシュ</t>
    </rPh>
    <rPh sb="2" eb="4">
      <t>セッテイ</t>
    </rPh>
    <rPh sb="4" eb="5">
      <t>トウ</t>
    </rPh>
    <rPh sb="22" eb="24">
      <t>レンケイ</t>
    </rPh>
    <phoneticPr fontId="2"/>
  </si>
  <si>
    <r>
      <t>店舗情報の管理用マスタテーブル</t>
    </r>
    <r>
      <rPr>
        <sz val="11"/>
        <color rgb="FFFF0000"/>
        <rFont val="Meiryo UI"/>
        <family val="3"/>
        <charset val="128"/>
      </rPr>
      <t>　※共通テーブルへ</t>
    </r>
    <rPh sb="0" eb="2">
      <t>テンポ</t>
    </rPh>
    <rPh sb="2" eb="4">
      <t>ジョウホウ</t>
    </rPh>
    <rPh sb="5" eb="7">
      <t>カンリ</t>
    </rPh>
    <rPh sb="7" eb="8">
      <t>ヨウ</t>
    </rPh>
    <phoneticPr fontId="2"/>
  </si>
  <si>
    <r>
      <t>バックエンド側APIの利用履歴</t>
    </r>
    <r>
      <rPr>
        <sz val="11"/>
        <color rgb="FFFF0000"/>
        <rFont val="Meiryo UI"/>
        <family val="3"/>
        <charset val="128"/>
      </rPr>
      <t>　※共通テーブルへ</t>
    </r>
    <rPh sb="6" eb="7">
      <t>ガワ</t>
    </rPh>
    <rPh sb="11" eb="13">
      <t>リヨウ</t>
    </rPh>
    <rPh sb="13" eb="15">
      <t>リレキ</t>
    </rPh>
    <rPh sb="17" eb="19">
      <t>キョウツウ</t>
    </rPh>
    <phoneticPr fontId="2"/>
  </si>
  <si>
    <r>
      <rPr>
        <sz val="9"/>
        <color rgb="FFFF0000"/>
        <rFont val="Meiryo UI"/>
        <family val="3"/>
        <charset val="128"/>
      </rPr>
      <t>管理</t>
    </r>
    <r>
      <rPr>
        <sz val="9"/>
        <rFont val="Meiryo UI"/>
        <family val="3"/>
        <charset val="128"/>
      </rPr>
      <t>タイトル</t>
    </r>
    <rPh sb="0" eb="2">
      <t>カンリ</t>
    </rPh>
    <phoneticPr fontId="2"/>
  </si>
  <si>
    <t>表示名称</t>
    <rPh sb="0" eb="2">
      <t>ヒョウジ</t>
    </rPh>
    <rPh sb="2" eb="4">
      <t>メイショウ</t>
    </rPh>
    <phoneticPr fontId="2"/>
  </si>
  <si>
    <t>label</t>
    <phoneticPr fontId="2"/>
  </si>
  <si>
    <t>フロント（カート）で表示する名称として利用</t>
    <rPh sb="10" eb="12">
      <t>ヒョウジ</t>
    </rPh>
    <rPh sb="14" eb="16">
      <t>メイショウ</t>
    </rPh>
    <rPh sb="19" eb="21">
      <t>リヨウ</t>
    </rPh>
    <phoneticPr fontId="2"/>
  </si>
  <si>
    <t>管理用タイトル</t>
    <rPh sb="0" eb="3">
      <t>カンリヨウ</t>
    </rPh>
    <phoneticPr fontId="2"/>
  </si>
  <si>
    <t>管理用の概要欄</t>
    <rPh sb="0" eb="3">
      <t>カンリヨウ</t>
    </rPh>
    <rPh sb="4" eb="6">
      <t>ガイヨウ</t>
    </rPh>
    <rPh sb="6" eb="7">
      <t>ラン</t>
    </rPh>
    <phoneticPr fontId="2"/>
  </si>
  <si>
    <t>labelの項目を追加</t>
    <rPh sb="6" eb="8">
      <t>コウモク</t>
    </rPh>
    <rPh sb="9" eb="11">
      <t>ツイカ</t>
    </rPh>
    <phoneticPr fontId="2"/>
  </si>
  <si>
    <t>nvarchar</t>
    <phoneticPr fontId="2"/>
  </si>
  <si>
    <t>履歴ＩＤ</t>
    <rPh sb="0" eb="2">
      <t>リレキ</t>
    </rPh>
    <phoneticPr fontId="2"/>
  </si>
  <si>
    <t>idを削除、history_idを追加</t>
    <rPh sb="3" eb="5">
      <t>サクジョ</t>
    </rPh>
    <rPh sb="17" eb="19">
      <t>ツイカ</t>
    </rPh>
    <phoneticPr fontId="2"/>
  </si>
  <si>
    <t>DL対象</t>
    <rPh sb="2" eb="4">
      <t>タイショウ</t>
    </rPh>
    <phoneticPr fontId="2"/>
  </si>
  <si>
    <t>DL対象項目の場合の情報</t>
    <rPh sb="2" eb="4">
      <t>タイショウ</t>
    </rPh>
    <rPh sb="4" eb="6">
      <t>コウモク</t>
    </rPh>
    <rPh sb="7" eb="9">
      <t>バアイ</t>
    </rPh>
    <rPh sb="10" eb="12">
      <t>ジョウホウ</t>
    </rPh>
    <phoneticPr fontId="2"/>
  </si>
  <si>
    <t>〇</t>
  </si>
  <si>
    <t>〇</t>
    <phoneticPr fontId="2"/>
  </si>
  <si>
    <t>UL時の更新対象かどうかは</t>
    <rPh sb="2" eb="3">
      <t>ジ</t>
    </rPh>
    <rPh sb="4" eb="6">
      <t>コウシン</t>
    </rPh>
    <rPh sb="6" eb="8">
      <t>タイショウ</t>
    </rPh>
    <phoneticPr fontId="2"/>
  </si>
  <si>
    <t>右表の利用状況を確認</t>
    <rPh sb="0" eb="1">
      <t>ミギ</t>
    </rPh>
    <rPh sb="1" eb="2">
      <t>ヒョウ</t>
    </rPh>
    <rPh sb="3" eb="5">
      <t>リヨウ</t>
    </rPh>
    <rPh sb="5" eb="7">
      <t>ジョウキョウ</t>
    </rPh>
    <rPh sb="8" eb="10">
      <t>カクニン</t>
    </rPh>
    <phoneticPr fontId="2"/>
  </si>
  <si>
    <t>△</t>
    <phoneticPr fontId="2"/>
  </si>
  <si>
    <t>各シート</t>
    <rPh sb="0" eb="1">
      <t>カク</t>
    </rPh>
    <phoneticPr fontId="2"/>
  </si>
  <si>
    <t>UL更新</t>
    <rPh sb="2" eb="4">
      <t>コウシン</t>
    </rPh>
    <phoneticPr fontId="2"/>
  </si>
  <si>
    <t>DL対象・UL更新・備考欄を追加</t>
    <rPh sb="2" eb="4">
      <t>タイショウ</t>
    </rPh>
    <rPh sb="7" eb="9">
      <t>コウシン</t>
    </rPh>
    <rPh sb="10" eb="12">
      <t>ビコウ</t>
    </rPh>
    <rPh sb="12" eb="13">
      <t>ラン</t>
    </rPh>
    <rPh sb="14" eb="16">
      <t>ツイカ</t>
    </rPh>
    <phoneticPr fontId="2"/>
  </si>
  <si>
    <r>
      <t>トピックス</t>
    </r>
    <r>
      <rPr>
        <b/>
        <sz val="9"/>
        <color theme="0" tint="-4.9989318521683403E-2"/>
        <rFont val="Meiryo UI"/>
        <family val="3"/>
        <charset val="128"/>
      </rPr>
      <t>※119側</t>
    </r>
    <rPh sb="9" eb="10">
      <t>ガワ</t>
    </rPh>
    <phoneticPr fontId="2"/>
  </si>
  <si>
    <r>
      <t>トピックス</t>
    </r>
    <r>
      <rPr>
        <b/>
        <sz val="9"/>
        <color theme="0" tint="-4.9989318521683403E-2"/>
        <rFont val="Meiryo UI"/>
        <family val="3"/>
        <charset val="128"/>
      </rPr>
      <t>※DOCS側</t>
    </r>
    <rPh sb="10" eb="11">
      <t>ガワ</t>
    </rPh>
    <phoneticPr fontId="2"/>
  </si>
  <si>
    <r>
      <t>FAQコンテンツ</t>
    </r>
    <r>
      <rPr>
        <b/>
        <sz val="8"/>
        <color theme="0"/>
        <rFont val="Meiryo UI"/>
        <family val="3"/>
        <charset val="128"/>
      </rPr>
      <t>※119側DB</t>
    </r>
    <rPh sb="12" eb="13">
      <t>ガワ</t>
    </rPh>
    <phoneticPr fontId="5"/>
  </si>
  <si>
    <t>表示するＳＫＵ
※検索結果画面に表示する特定SKU専用のHTML部品等に設定しておく。</t>
    <rPh sb="10" eb="12">
      <t>ケンサク</t>
    </rPh>
    <rPh sb="12" eb="14">
      <t>ケッカ</t>
    </rPh>
    <rPh sb="14" eb="16">
      <t>ガメン</t>
    </rPh>
    <rPh sb="17" eb="19">
      <t>ヒョウジ</t>
    </rPh>
    <rPh sb="21" eb="23">
      <t>トクテイ</t>
    </rPh>
    <rPh sb="26" eb="28">
      <t>センヨウ</t>
    </rPh>
    <rPh sb="33" eb="35">
      <t>ブヒン</t>
    </rPh>
    <rPh sb="35" eb="36">
      <t>ナド</t>
    </rPh>
    <rPh sb="37" eb="39">
      <t>セッテイ</t>
    </rPh>
    <phoneticPr fontId="2"/>
  </si>
  <si>
    <t>TOPICS：トピックス
HTML_PARTS：ＨＴＭＬ部品
CMS_PARTS：CMS部品
FAQ：ＦＡＱ用コンテンツ</t>
    <rPh sb="44" eb="46">
      <t>ブヒン</t>
    </rPh>
    <rPh sb="54" eb="55">
      <t>ヨウ</t>
    </rPh>
    <phoneticPr fontId="2"/>
  </si>
  <si>
    <t>CONTENTS：コンテンツページに設定するカテゴリ
PAGES：ページコンテンツに設定するカテゴリ
HOUJIN：法人コンテンツに設定するカテゴリ
TENPO：店舗コンテンツに設定するカテゴリ
HTML_PARTS：HTML部品に設定するカテゴリ
CMS_PARTS：CMS部品に設定するカテゴリ
FAQ：FAQに設定するカテゴリ</t>
    <rPh sb="18" eb="20">
      <t>セッテイ</t>
    </rPh>
    <rPh sb="42" eb="44">
      <t>セッテイ</t>
    </rPh>
    <rPh sb="58" eb="60">
      <t>ホウジン</t>
    </rPh>
    <rPh sb="66" eb="68">
      <t>セッテイ</t>
    </rPh>
    <rPh sb="81" eb="83">
      <t>テンポ</t>
    </rPh>
    <rPh sb="89" eb="91">
      <t>セッテイ</t>
    </rPh>
    <rPh sb="113" eb="115">
      <t>ブヒン</t>
    </rPh>
    <rPh sb="116" eb="118">
      <t>セッテイ</t>
    </rPh>
    <rPh sb="138" eb="140">
      <t>ブヒン</t>
    </rPh>
    <rPh sb="141" eb="143">
      <t>セッテイ</t>
    </rPh>
    <rPh sb="158" eb="160">
      <t>セッテイ</t>
    </rPh>
    <phoneticPr fontId="2"/>
  </si>
  <si>
    <t>FAQ概要（管理用）</t>
  </si>
  <si>
    <t>表示開始日時</t>
  </si>
  <si>
    <t>表示終了日時</t>
  </si>
  <si>
    <t>サイト取扱区分
119S、119B、119K
をカンマ区切りで格納</t>
    <rPh sb="27" eb="29">
      <t>クギ</t>
    </rPh>
    <rPh sb="31" eb="33">
      <t>カクノウ</t>
    </rPh>
    <phoneticPr fontId="2"/>
  </si>
  <si>
    <t>サイト取扱区分
BROSS、BROSB、BROSK
をカンマ区切りで格納</t>
    <rPh sb="30" eb="32">
      <t>クギ</t>
    </rPh>
    <rPh sb="34" eb="36">
      <t>カクノウ</t>
    </rPh>
    <phoneticPr fontId="2"/>
  </si>
  <si>
    <r>
      <t>HTML部品</t>
    </r>
    <r>
      <rPr>
        <b/>
        <sz val="9"/>
        <color theme="0" tint="-4.9989318521683403E-2"/>
        <rFont val="Meiryo UI"/>
        <family val="3"/>
        <charset val="128"/>
      </rPr>
      <t>※DOCS側</t>
    </r>
    <rPh sb="4" eb="6">
      <t>ブヒン</t>
    </rPh>
    <phoneticPr fontId="2"/>
  </si>
  <si>
    <r>
      <t>CMS部品</t>
    </r>
    <r>
      <rPr>
        <b/>
        <sz val="9"/>
        <color theme="0" tint="-4.9989318521683403E-2"/>
        <rFont val="Meiryo UI"/>
        <family val="3"/>
        <charset val="128"/>
      </rPr>
      <t>※DOCS側</t>
    </r>
    <phoneticPr fontId="2"/>
  </si>
  <si>
    <r>
      <t>HTML部品</t>
    </r>
    <r>
      <rPr>
        <b/>
        <sz val="9"/>
        <color theme="0" tint="-4.9989318521683403E-2"/>
        <rFont val="Meiryo UI"/>
        <family val="3"/>
        <charset val="128"/>
      </rPr>
      <t>※119側</t>
    </r>
    <rPh sb="4" eb="6">
      <t>ブヒン</t>
    </rPh>
    <phoneticPr fontId="2"/>
  </si>
  <si>
    <r>
      <t>CMS部品</t>
    </r>
    <r>
      <rPr>
        <b/>
        <sz val="9"/>
        <color theme="0" tint="-4.9989318521683403E-2"/>
        <rFont val="Meiryo UI"/>
        <family val="3"/>
        <charset val="128"/>
      </rPr>
      <t>※119側</t>
    </r>
    <phoneticPr fontId="2"/>
  </si>
  <si>
    <t>パブリッシュ対象区分
(Empty)：パブリッシュ対象外
ON：パブリッシュ対象</t>
    <phoneticPr fontId="2"/>
  </si>
  <si>
    <t>「CONTENTS」固定</t>
    <rPh sb="10" eb="12">
      <t>コテイ</t>
    </rPh>
    <phoneticPr fontId="2"/>
  </si>
  <si>
    <r>
      <t>表示するカテゴリ</t>
    </r>
    <r>
      <rPr>
        <strike/>
        <sz val="9"/>
        <rFont val="Meiryo UI"/>
        <family val="3"/>
        <charset val="128"/>
      </rPr>
      <t>ジャンル</t>
    </r>
    <r>
      <rPr>
        <sz val="9"/>
        <rFont val="Meiryo UI"/>
        <family val="3"/>
        <charset val="128"/>
      </rPr>
      <t xml:space="preserve">
※商品一覧画面に表示する特定カテゴリ専用のHTML部品等に設定しておく。</t>
    </r>
    <rPh sb="15" eb="17">
      <t>ショウヒン</t>
    </rPh>
    <rPh sb="17" eb="19">
      <t>イチラン</t>
    </rPh>
    <rPh sb="41" eb="42">
      <t>トウ</t>
    </rPh>
    <phoneticPr fontId="2"/>
  </si>
  <si>
    <r>
      <t xml:space="preserve">表示するフロー（購入・会員登録など）
[会員登録]NEW/EDIT/UPGRADE
[購入フロー]MEMBER/GUEST
[検索結果]
検索キーワードによるHTML部品表示
特殊URLパラメータによるHTML部品
表示
</t>
    </r>
    <r>
      <rPr>
        <strike/>
        <sz val="9"/>
        <rFont val="Meiryo UI"/>
        <family val="3"/>
        <charset val="128"/>
      </rPr>
      <t>[場所による]B2E区分
s0000000：会員専用
s0000001:COOP専用
s0000013:KM専用
s0000027:JID専用</t>
    </r>
    <rPh sb="64" eb="66">
      <t>ケンサク</t>
    </rPh>
    <rPh sb="66" eb="68">
      <t>ケッカ</t>
    </rPh>
    <rPh sb="70" eb="72">
      <t>ケンサク</t>
    </rPh>
    <rPh sb="84" eb="86">
      <t>ブヒン</t>
    </rPh>
    <rPh sb="86" eb="88">
      <t>ヒョウジ</t>
    </rPh>
    <rPh sb="89" eb="91">
      <t>トクシュ</t>
    </rPh>
    <rPh sb="106" eb="108">
      <t>ブヒン</t>
    </rPh>
    <rPh sb="109" eb="111">
      <t>ヒョウジ</t>
    </rPh>
    <phoneticPr fontId="2"/>
  </si>
  <si>
    <r>
      <t xml:space="preserve">サイト取扱区分
</t>
    </r>
    <r>
      <rPr>
        <strike/>
        <sz val="9"/>
        <rFont val="Meiryo UI"/>
        <family val="3"/>
        <charset val="128"/>
      </rPr>
      <t>EC / EC_A / BOTH</t>
    </r>
    <r>
      <rPr>
        <sz val="9"/>
        <rFont val="Meiryo UI"/>
        <family val="3"/>
        <charset val="128"/>
      </rPr>
      <t xml:space="preserve">
COM / AKB / ORD / ACC
をカンマ区切りで格納</t>
    </r>
    <rPh sb="51" eb="53">
      <t>クギ</t>
    </rPh>
    <rPh sb="55" eb="57">
      <t>カクノウ</t>
    </rPh>
    <phoneticPr fontId="2"/>
  </si>
  <si>
    <r>
      <t xml:space="preserve">管理画面への表示しない。
内部的に「COM,AKB,ORD,ACC」を格納
サイト取扱区分
</t>
    </r>
    <r>
      <rPr>
        <strike/>
        <sz val="9"/>
        <rFont val="Meiryo UI"/>
        <family val="3"/>
        <charset val="128"/>
      </rPr>
      <t>EC / EC_A / BOTH</t>
    </r>
    <r>
      <rPr>
        <sz val="9"/>
        <rFont val="Meiryo UI"/>
        <family val="3"/>
        <charset val="128"/>
      </rPr>
      <t xml:space="preserve">
COM / AKB / ORD / ACC
をカンマ区切りで格納</t>
    </r>
    <rPh sb="0" eb="2">
      <t>カンリ</t>
    </rPh>
    <rPh sb="2" eb="4">
      <t>ガメン</t>
    </rPh>
    <rPh sb="6" eb="8">
      <t>ヒョウジ</t>
    </rPh>
    <rPh sb="13" eb="16">
      <t>ナイブテキ</t>
    </rPh>
    <rPh sb="35" eb="37">
      <t>カクノウ</t>
    </rPh>
    <rPh sb="90" eb="92">
      <t>クギ</t>
    </rPh>
    <rPh sb="94" eb="96">
      <t>カクノウ</t>
    </rPh>
    <phoneticPr fontId="2"/>
  </si>
  <si>
    <r>
      <t xml:space="preserve">レイアウト設定用XML
不要
</t>
    </r>
    <r>
      <rPr>
        <strike/>
        <sz val="9"/>
        <rFont val="Meiryo UI"/>
        <family val="3"/>
        <charset val="128"/>
      </rPr>
      <t>&lt;Ucf&gt;
&lt;DispInfo header="on" footer="on" left="on" right="on" /&gt;
&lt;/Ucf&gt;</t>
    </r>
    <rPh sb="5" eb="7">
      <t>セッテイ</t>
    </rPh>
    <rPh sb="7" eb="8">
      <t>ヨウ</t>
    </rPh>
    <rPh sb="12" eb="14">
      <t>フヨウ</t>
    </rPh>
    <phoneticPr fontId="0"/>
  </si>
  <si>
    <t>トピックス、HTML部品、CMS部品等のマスタテーブル　※119/BROSのコンテンツ管理マスタついても同様の構成のためここにまとめて記載する。</t>
    <rPh sb="43" eb="45">
      <t>カンリ</t>
    </rPh>
    <rPh sb="52" eb="54">
      <t>ドウヨウ</t>
    </rPh>
    <rPh sb="55" eb="57">
      <t>コウセイ</t>
    </rPh>
    <rPh sb="67" eb="69">
      <t>キサイ</t>
    </rPh>
    <phoneticPr fontId="2"/>
  </si>
  <si>
    <t>CSVファイルの終端にEOFあり</t>
    <rPh sb="8" eb="10">
      <t>シュウタン</t>
    </rPh>
    <phoneticPr fontId="2"/>
  </si>
  <si>
    <t>必須
※HTML部品の命名ルールに従って指定する</t>
    <rPh sb="0" eb="2">
      <t>ヒッス</t>
    </rPh>
    <rPh sb="8" eb="10">
      <t>ブヒン</t>
    </rPh>
    <rPh sb="11" eb="13">
      <t>メイメイ</t>
    </rPh>
    <rPh sb="17" eb="18">
      <t>シタガ</t>
    </rPh>
    <rPh sb="20" eb="22">
      <t>シテイ</t>
    </rPh>
    <phoneticPr fontId="2"/>
  </si>
  <si>
    <t>NG</t>
  </si>
  <si>
    <t>1900/01/01 00:00:00'</t>
    <phoneticPr fontId="2"/>
  </si>
  <si>
    <t>・各フィールドをNolNull属性に変更
・日付のデフォルト値を1900/01/01 00:00:00</t>
    <rPh sb="1" eb="2">
      <t>カク</t>
    </rPh>
    <rPh sb="15" eb="17">
      <t>ゾクセイ</t>
    </rPh>
    <rPh sb="18" eb="20">
      <t>ヘンコウ</t>
    </rPh>
    <rPh sb="22" eb="24">
      <t>ヒヅケ</t>
    </rPh>
    <rPh sb="30" eb="31">
      <t>チ</t>
    </rPh>
    <phoneticPr fontId="2"/>
  </si>
  <si>
    <t>コンテンツ管理</t>
    <rPh sb="5" eb="7">
      <t>カンリ</t>
    </rPh>
    <phoneticPr fontId="2"/>
  </si>
  <si>
    <t>119/BROSのアダルト区分設定が不要なため、property1の説明欄を更新</t>
    <rPh sb="13" eb="15">
      <t>クブン</t>
    </rPh>
    <rPh sb="15" eb="17">
      <t>セッテイ</t>
    </rPh>
    <rPh sb="18" eb="20">
      <t>フヨウ</t>
    </rPh>
    <rPh sb="34" eb="36">
      <t>セツメイ</t>
    </rPh>
    <rPh sb="36" eb="37">
      <t>ラン</t>
    </rPh>
    <rPh sb="38" eb="40">
      <t>コウシン</t>
    </rPh>
    <phoneticPr fontId="2"/>
  </si>
  <si>
    <r>
      <t xml:space="preserve">(Empty)：通常
ADULT：アダルト承認制御有り
</t>
    </r>
    <r>
      <rPr>
        <sz val="9"/>
        <color rgb="FFFF0000"/>
        <rFont val="Meiryo UI"/>
        <family val="3"/>
        <charset val="128"/>
      </rPr>
      <t>アダルト区分は不要</t>
    </r>
    <r>
      <rPr>
        <strike/>
        <sz val="9"/>
        <color rgb="FFFF0000"/>
        <rFont val="Meiryo UI"/>
        <family val="3"/>
        <charset val="128"/>
      </rPr>
      <t xml:space="preserve">
</t>
    </r>
    <rPh sb="32" eb="34">
      <t>クブン</t>
    </rPh>
    <rPh sb="35" eb="37">
      <t>フヨウ</t>
    </rPh>
    <phoneticPr fontId="2"/>
  </si>
  <si>
    <r>
      <t xml:space="preserve">(Empty)：通常
ADULT：アダルト承認制御有り
</t>
    </r>
    <r>
      <rPr>
        <sz val="9"/>
        <color rgb="FFFF0000"/>
        <rFont val="Meiryo UI"/>
        <family val="3"/>
        <charset val="128"/>
      </rPr>
      <t>アダルト区分は不要</t>
    </r>
    <phoneticPr fontId="2"/>
  </si>
  <si>
    <t>パスワード有効期限日</t>
    <rPh sb="5" eb="7">
      <t>ユウコウ</t>
    </rPh>
    <rPh sb="7" eb="9">
      <t>キゲン</t>
    </rPh>
    <rPh sb="9" eb="10">
      <t>ビ</t>
    </rPh>
    <phoneticPr fontId="2"/>
  </si>
  <si>
    <t>パスワード更新日時</t>
    <rPh sb="5" eb="7">
      <t>コウシン</t>
    </rPh>
    <rPh sb="7" eb="9">
      <t>ニチジ</t>
    </rPh>
    <phoneticPr fontId="2"/>
  </si>
  <si>
    <t>パスワード更新日時(reminder_expire2)から180後の日付を設定する</t>
    <rPh sb="5" eb="7">
      <t>コウシン</t>
    </rPh>
    <rPh sb="7" eb="9">
      <t>ニチジ</t>
    </rPh>
    <rPh sb="32" eb="33">
      <t>ゴ</t>
    </rPh>
    <rPh sb="34" eb="36">
      <t>ヒヅケ</t>
    </rPh>
    <rPh sb="37" eb="39">
      <t>セッテイ</t>
    </rPh>
    <phoneticPr fontId="2"/>
  </si>
  <si>
    <t>スタッフマスタの更新日時</t>
    <rPh sb="8" eb="10">
      <t>コウシン</t>
    </rPh>
    <rPh sb="10" eb="12">
      <t>ニチジ</t>
    </rPh>
    <phoneticPr fontId="2"/>
  </si>
  <si>
    <t>「有効区分」を変更した日時</t>
    <rPh sb="1" eb="3">
      <t>ユウコウ</t>
    </rPh>
    <rPh sb="3" eb="5">
      <t>クブン</t>
    </rPh>
    <rPh sb="7" eb="9">
      <t>ヘンコウ</t>
    </rPh>
    <rPh sb="11" eb="13">
      <t>ニチジ</t>
    </rPh>
    <phoneticPr fontId="2"/>
  </si>
  <si>
    <t>group_attribute_text_1</t>
    <phoneticPr fontId="2"/>
  </si>
  <si>
    <r>
      <t>NL(</t>
    </r>
    <r>
      <rPr>
        <sz val="9"/>
        <color rgb="FFFF0000"/>
        <rFont val="Meiryo UI"/>
        <family val="3"/>
        <charset val="128"/>
      </rPr>
      <t>6</t>
    </r>
    <r>
      <rPr>
        <sz val="9"/>
        <rFont val="Meiryo UI"/>
        <family val="3"/>
        <charset val="128"/>
      </rPr>
      <t>0)Eq</t>
    </r>
    <phoneticPr fontId="2"/>
  </si>
  <si>
    <t>コンテンツ管理・コンテンツ履歴管理</t>
    <rPh sb="5" eb="7">
      <t>カンリ</t>
    </rPh>
    <rPh sb="13" eb="15">
      <t>リレキ</t>
    </rPh>
    <rPh sb="15" eb="17">
      <t>カンリ</t>
    </rPh>
    <phoneticPr fontId="2"/>
  </si>
  <si>
    <t>コンテンツIDのCmdを40→60に修正</t>
    <rPh sb="18" eb="20">
      <t>シュウセイ</t>
    </rPh>
    <phoneticPr fontId="2"/>
  </si>
  <si>
    <t>uc_organization</t>
    <phoneticPr fontId="49"/>
  </si>
  <si>
    <t>法人会員情報マスタ</t>
    <rPh sb="0" eb="4">
      <t>ホウジンカイイン</t>
    </rPh>
    <rPh sb="4" eb="6">
      <t>ジョウホウ</t>
    </rPh>
    <phoneticPr fontId="29"/>
  </si>
  <si>
    <t>追加</t>
    <rPh sb="0" eb="2">
      <t>ツイカ</t>
    </rPh>
    <phoneticPr fontId="2"/>
  </si>
  <si>
    <t>SO刑</t>
    <rPh sb="2" eb="3">
      <t>ケイ</t>
    </rPh>
    <phoneticPr fontId="2"/>
  </si>
  <si>
    <t>Commerce　テーブル定義</t>
  </si>
  <si>
    <t>テーブル名（漢字）</t>
  </si>
  <si>
    <t>テーブル名（英語）</t>
  </si>
  <si>
    <t>№</t>
  </si>
  <si>
    <t>フィールド名（漢字）</t>
  </si>
  <si>
    <t>フィールド名（英語）</t>
  </si>
  <si>
    <t>Ｔｙｐｅ</t>
  </si>
  <si>
    <t>カラム数</t>
  </si>
  <si>
    <t>Ｎｕｌｌ</t>
  </si>
  <si>
    <t>Ｄｅｆａｕｌｔ</t>
  </si>
  <si>
    <t>ＰＫ</t>
  </si>
  <si>
    <t>UK</t>
  </si>
  <si>
    <t>ＦＫ</t>
  </si>
  <si>
    <t>Cmd</t>
  </si>
  <si>
    <t>定義</t>
  </si>
  <si>
    <t>備考(FW)</t>
  </si>
  <si>
    <t>自動発番管理ID</t>
  </si>
  <si>
    <t>formal_id</t>
  </si>
  <si>
    <t>BIGINT</t>
  </si>
  <si>
    <t>NVARCHAR</t>
  </si>
  <si>
    <t>VARCHAR</t>
  </si>
  <si>
    <t>法人種別</t>
  </si>
  <si>
    <t>type</t>
  </si>
  <si>
    <t>I:個人の方
C:法人の方
S:個人事業者の方</t>
  </si>
  <si>
    <t>業種１</t>
  </si>
  <si>
    <t>industry_name_1</t>
  </si>
  <si>
    <t>業種２</t>
  </si>
  <si>
    <t>industry_name_2</t>
  </si>
  <si>
    <t>会社名</t>
  </si>
  <si>
    <t>従業員数</t>
  </si>
  <si>
    <t>employee_quantity</t>
  </si>
  <si>
    <t>空 : type = 'I'（個人）の場合
0:1～10名
1:11～50名
2:51～300名
3:301名以上</t>
    <rPh sb="0" eb="1">
      <t>カラ</t>
    </rPh>
    <rPh sb="15" eb="17">
      <t>コジン</t>
    </rPh>
    <rPh sb="19" eb="21">
      <t>バアイ</t>
    </rPh>
    <phoneticPr fontId="29"/>
  </si>
  <si>
    <t>請求書払いのご希望</t>
  </si>
  <si>
    <t>invoice_req</t>
  </si>
  <si>
    <t>空 : type = 'I'（個人）の場合
0:希望しない
1:希望する</t>
    <rPh sb="24" eb="26">
      <t>キボウ</t>
    </rPh>
    <rPh sb="32" eb="34">
      <t>キボウ</t>
    </rPh>
    <phoneticPr fontId="29"/>
  </si>
  <si>
    <t>法人WEB会員登録</t>
  </si>
  <si>
    <t>cor_member_regist</t>
  </si>
  <si>
    <t>空 : type = 'I'（個人）の場合
0:希望しない
1:希望する</t>
  </si>
  <si>
    <t>作成日付</t>
  </si>
  <si>
    <t>更新日付</t>
  </si>
  <si>
    <t>datetime</t>
    <phoneticPr fontId="49"/>
  </si>
  <si>
    <t>varchar</t>
    <phoneticPr fontId="49"/>
  </si>
  <si>
    <t>FRONT:フロントからの登録</t>
    <phoneticPr fontId="49"/>
  </si>
  <si>
    <t>FRONT:フロントからの登録</t>
  </si>
  <si>
    <t>会員区分
G00：ゲスト
B01：ビック（一般会員）
B02：ビック（EC会員）
B03：ビック（都職員・実業団）
B04：ビック（JR社員）
B05：ビック（警視庁）
B91：ビック（課金有効）
B90：ビック（課金無効）
K01：コジマ（一般会員）
K02：コジマ（EC会員）
K03：コジマ（アクティブ65会員）
K91：コジマ（課金有効）
K90：コジマ（課金無効）
S01：ソフマップ（一般会員）
S02：ソフマップ（EC会員）
S03：ソフマップ（プレミアム会員
S04：ソフマップ（クレジット会員）
S91：ソフマップ（課金有効）
S90：ソフマップ（課金無効）</t>
    <rPh sb="0" eb="2">
      <t>カイイン</t>
    </rPh>
    <rPh sb="2" eb="4">
      <t>クブン</t>
    </rPh>
    <phoneticPr fontId="2"/>
  </si>
  <si>
    <t>コンテンツ管理マスタのステータス１(status1)のコンテンツタイプごとの区分値欄の内容を一新。（チェックボックス選択項目のため、全項目を選択した際の文字数が長くならないように）</t>
    <rPh sb="58" eb="60">
      <t>センタク</t>
    </rPh>
    <rPh sb="60" eb="62">
      <t>コウモク</t>
    </rPh>
    <rPh sb="66" eb="69">
      <t>ゼンコウモク</t>
    </rPh>
    <rPh sb="70" eb="72">
      <t>センタク</t>
    </rPh>
    <rPh sb="74" eb="75">
      <t>サイ</t>
    </rPh>
    <rPh sb="76" eb="79">
      <t>モジスウ</t>
    </rPh>
    <rPh sb="80" eb="81">
      <t>ナガ</t>
    </rPh>
    <phoneticPr fontId="2"/>
  </si>
  <si>
    <t>コンテンツ区分</t>
    <phoneticPr fontId="2"/>
  </si>
  <si>
    <t>contents_type</t>
    <phoneticPr fontId="2"/>
  </si>
  <si>
    <t xml:space="preserve">"01:約款(カート投入時)/02:約款/03:設置アンケート/04:工事アンケート/05:ワランティ（長期保証）/06:ラッピング/07:AppleCare+/08:リサイクル券/09:課金サービス
10:注意事項/11:商品説明/12:商品説明(左)/13:関連商品HTML"																		</t>
    <phoneticPr fontId="2"/>
  </si>
  <si>
    <t>N0(2)Eq</t>
    <phoneticPr fontId="2"/>
  </si>
  <si>
    <t>商品グループ属性</t>
    <phoneticPr fontId="2"/>
  </si>
  <si>
    <t>SO曹</t>
    <rPh sb="2" eb="3">
      <t>ソウ</t>
    </rPh>
    <phoneticPr fontId="2"/>
  </si>
  <si>
    <t>20241204追加</t>
    <rPh sb="8" eb="10">
      <t>ツイカ</t>
    </rPh>
    <phoneticPr fontId="2"/>
  </si>
  <si>
    <t>フィールドコンテンツ区分追加　</t>
    <rPh sb="12" eb="14">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</si>
</sst>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d;@"/>
    <numFmt numFmtId="177" formatCode="yyyy/mm/dd\ hh:mm:ss"/>
  </numFmts>
  <fonts count="59">
    <font>
      <sz val="11"/>
      <color theme="1"/>
      <name val="Meiryo UI"/>
      <family val="2"/>
      <charset val="128"/>
    </font>
    <font>
      <u/>
      <sz val="11"/>
      <color indexed="12"/>
      <name val="ＭＳ Ｐゴシック"/>
      <family val="3"/>
      <charset val="128"/>
    </font>
    <font>
      <sz val="6"/>
      <name val="Meiryo UI"/>
      <family val="2"/>
      <charset val="128"/>
    </font>
    <font>
      <sz val="11"/>
      <color theme="1"/>
      <name val="游ゴシック"/>
      <family val="3"/>
      <charset val="128"/>
      <scheme val="minor"/>
    </font>
    <font>
      <sz val="10"/>
      <name val="ＭＳ Ｐゴシック"/>
      <family val="3"/>
      <charset val="128"/>
    </font>
    <font>
      <b/>
      <sz val="11"/>
      <color theme="0"/>
      <name val="Meiryo UI"/>
      <family val="3"/>
      <charset val="128"/>
    </font>
    <font>
      <b/>
      <sz val="8"/>
      <color theme="1"/>
      <name val="Meiryo UI"/>
      <family val="3"/>
      <charset val="128"/>
    </font>
    <font>
      <b/>
      <sz val="12"/>
      <color theme="1"/>
      <name val="Meiryo UI"/>
      <family val="3"/>
      <charset val="128"/>
    </font>
    <font>
      <sz val="8"/>
      <color rgb="FFFF0000"/>
      <name val="Meiryo UI"/>
      <family val="3"/>
      <charset val="128"/>
    </font>
    <font>
      <b/>
      <sz val="11"/>
      <color theme="0" tint="-4.9989318521683403E-2"/>
      <name val="Meiryo UI"/>
      <family val="3"/>
      <charset val="128"/>
    </font>
    <font>
      <b/>
      <sz val="8"/>
      <color theme="0" tint="-4.9989318521683403E-2"/>
      <name val="Meiryo UI"/>
      <family val="3"/>
      <charset val="128"/>
    </font>
    <font>
      <sz val="9"/>
      <color theme="1"/>
      <name val="Meiryo UI"/>
      <family val="3"/>
      <charset val="128"/>
    </font>
    <font>
      <b/>
      <sz val="9"/>
      <color theme="0" tint="-4.9989318521683403E-2"/>
      <name val="Meiryo UI"/>
      <family val="3"/>
      <charset val="128"/>
    </font>
    <font>
      <b/>
      <sz val="8"/>
      <color theme="0"/>
      <name val="Meiryo UI"/>
      <family val="3"/>
      <charset val="128"/>
    </font>
    <font>
      <sz val="11"/>
      <name val="Meiryo UI"/>
      <family val="3"/>
      <charset val="128"/>
    </font>
    <font>
      <u/>
      <sz val="11"/>
      <color theme="10"/>
      <name val="Meiryo UI"/>
      <family val="2"/>
      <charset val="128"/>
    </font>
    <font>
      <sz val="11"/>
      <color rgb="FFFF0000"/>
      <name val="Meiryo UI"/>
      <family val="3"/>
      <charset val="128"/>
    </font>
    <font>
      <b/>
      <sz val="9"/>
      <color theme="0"/>
      <name val="Meiryo UI"/>
      <family val="3"/>
      <charset val="128"/>
    </font>
    <font>
      <b/>
      <sz val="6"/>
      <color theme="0"/>
      <name val="Meiryo UI"/>
      <family val="3"/>
      <charset val="128"/>
    </font>
    <font>
      <sz val="9"/>
      <color rgb="FFFF0000"/>
      <name val="Meiryo UI"/>
      <family val="3"/>
      <charset val="128"/>
    </font>
    <font>
      <b/>
      <sz val="5"/>
      <color theme="0"/>
      <name val="Meiryo UI"/>
      <family val="3"/>
      <charset val="128"/>
    </font>
    <font>
      <sz val="11"/>
      <color theme="1"/>
      <name val="游ゴシック"/>
      <family val="2"/>
      <charset val="128"/>
      <scheme val="minor"/>
    </font>
    <font>
      <sz val="6"/>
      <name val="游ゴシック"/>
      <family val="2"/>
      <charset val="128"/>
      <scheme val="minor"/>
    </font>
    <font>
      <u/>
      <sz val="11"/>
      <name val="Meiryo UI"/>
      <family val="3"/>
      <charset val="128"/>
    </font>
    <font>
      <b/>
      <sz val="8"/>
      <name val="Meiryo UI"/>
      <family val="3"/>
      <charset val="128"/>
    </font>
    <font>
      <b/>
      <sz val="12"/>
      <name val="Meiryo UI"/>
      <family val="3"/>
      <charset val="128"/>
    </font>
    <font>
      <sz val="8"/>
      <name val="Meiryo UI"/>
      <family val="3"/>
      <charset val="128"/>
    </font>
    <font>
      <sz val="9"/>
      <name val="Meiryo UI"/>
      <family val="3"/>
      <charset val="128"/>
    </font>
    <font>
      <sz val="11"/>
      <name val="Meiryo UI"/>
      <family val="2"/>
      <charset val="128"/>
    </font>
    <font>
      <sz val="10.5"/>
      <name val="ＭＳ Ｐゴシック"/>
      <family val="3"/>
      <charset val="128"/>
    </font>
    <font>
      <sz val="11"/>
      <name val="ＭＳ Ｐゴシック"/>
      <family val="3"/>
      <charset val="128"/>
    </font>
    <font>
      <b/>
      <sz val="11"/>
      <name val="Meiryo UI"/>
      <family val="3"/>
      <charset val="128"/>
    </font>
    <font>
      <sz val="9"/>
      <name val="ＭＳ Ｐゴシック"/>
      <family val="3"/>
      <charset val="128"/>
    </font>
    <font>
      <sz val="9"/>
      <color rgb="FFFF0000"/>
      <name val="ＭＳ Ｐゴシック"/>
      <family val="3"/>
      <charset val="128"/>
    </font>
    <font>
      <sz val="9"/>
      <color theme="1"/>
      <name val="Meiryo UI"/>
      <family val="2"/>
      <charset val="128"/>
    </font>
    <font>
      <sz val="9"/>
      <name val="Meiryo UI"/>
      <family val="2"/>
      <charset val="128"/>
    </font>
    <font>
      <strike/>
      <sz val="9"/>
      <color rgb="FFFF0000"/>
      <name val="ＭＳ Ｐゴシック"/>
      <family val="3"/>
      <charset val="128"/>
    </font>
    <font>
      <strike/>
      <sz val="9"/>
      <name val="Meiryo UI"/>
      <family val="3"/>
      <charset val="128"/>
    </font>
    <font>
      <sz val="10"/>
      <color rgb="FFFF0000"/>
      <name val="Arial Unicode MS"/>
      <family val="2"/>
    </font>
    <font>
      <b/>
      <sz val="11"/>
      <color rgb="FFFF0000"/>
      <name val="Meiryo UI"/>
      <family val="3"/>
      <charset val="128"/>
    </font>
    <font>
      <strike/>
      <sz val="9"/>
      <name val="ＭＳ Ｐゴシック"/>
      <family val="3"/>
      <charset val="128"/>
    </font>
    <font>
      <b/>
      <sz val="8"/>
      <color rgb="FFFF0000"/>
      <name val="Meiryo UI"/>
      <family val="3"/>
      <charset val="128"/>
    </font>
    <font>
      <u/>
      <sz val="11"/>
      <color theme="4"/>
      <name val="Meiryo UI"/>
      <family val="3"/>
      <charset val="128"/>
    </font>
    <font>
      <b/>
      <sz val="9"/>
      <color rgb="FFFF0000"/>
      <name val="Meiryo UI"/>
      <family val="3"/>
      <charset val="128"/>
    </font>
    <font>
      <sz val="11"/>
      <color theme="1"/>
      <name val="Meiryo UI"/>
      <family val="2"/>
      <charset val="128"/>
    </font>
    <font>
      <strike/>
      <sz val="9"/>
      <color rgb="FFFF0000"/>
      <name val="Meiryo UI"/>
      <family val="3"/>
      <charset val="128"/>
    </font>
    <font>
      <sz val="10"/>
      <name val="Arial Unicode MS"/>
      <family val="2"/>
    </font>
    <font>
      <sz val="10"/>
      <color rgb="FF333333"/>
      <name val="Roboto"/>
    </font>
    <font>
      <sz val="9"/>
      <color rgb="FFFF0000"/>
      <name val="Meiryo UI"/>
      <family val="2"/>
      <charset val="128"/>
    </font>
    <font>
      <sz val="6"/>
      <name val="ＭＳ Ｐゴシック"/>
      <family val="3"/>
      <charset val="128"/>
    </font>
    <font>
      <sz val="10.5"/>
      <color rgb="FFFF0000"/>
      <name val="ＭＳ Ｐゴシック"/>
      <family val="3"/>
      <charset val="128"/>
    </font>
    <font>
      <sz val="10.5"/>
      <name val="Meiryo UI"/>
      <family val="3"/>
      <charset val="128"/>
    </font>
    <font>
      <u/>
      <sz val="11"/>
      <color rgb="FF0070C0"/>
      <name val="ＭＳ Ｐゴシック"/>
      <family val="3"/>
      <charset val="128"/>
    </font>
    <font>
      <b/>
      <sz val="14"/>
      <name val="ＭＳ Ｐゴシック"/>
      <family val="3"/>
      <charset val="128"/>
    </font>
    <font>
      <b/>
      <sz val="14"/>
      <color rgb="FFFF0000"/>
      <name val="ＭＳ Ｐゴシック"/>
      <family val="3"/>
      <charset val="128"/>
    </font>
    <font>
      <sz val="10"/>
      <name val="Helv"/>
      <family val="2"/>
    </font>
    <font>
      <b/>
      <sz val="9"/>
      <name val="ＭＳ Ｐゴシック"/>
      <family val="3"/>
      <charset val="128"/>
    </font>
    <font>
      <sz val="6"/>
      <color rgb="FFFF0000"/>
      <name val="Meiryo UI"/>
      <family val="3"/>
      <charset val="128"/>
    </font>
    <font>
      <sz val="9"/>
      <color rgb="FFFF0000"/>
      <name val="Microsoft YaHei"/>
      <family val="3"/>
      <charset val="134"/>
    </font>
  </fonts>
  <fills count="14">
    <fill>
      <patternFill patternType="none"/>
    </fill>
    <fill>
      <patternFill patternType="gray125"/>
    </fill>
    <fill>
      <patternFill patternType="solid">
        <fgColor theme="7" tint="0.79998168889431442"/>
        <bgColor indexed="64"/>
      </patternFill>
    </fill>
    <fill>
      <patternFill patternType="solid">
        <fgColor theme="4" tint="-0.249977111117893"/>
        <bgColor indexed="64"/>
      </patternFill>
    </fill>
    <fill>
      <patternFill patternType="solid">
        <fgColor theme="9"/>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7"/>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indexed="53"/>
        <bgColor indexed="64"/>
      </patternFill>
    </fill>
    <fill>
      <patternFill patternType="solid">
        <fgColor indexed="4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9">
    <xf numFmtId="0" fontId="0" fillId="0" borderId="0">
      <alignment vertical="center"/>
    </xf>
    <xf numFmtId="0" fontId="1" fillId="0" borderId="0" applyNumberFormat="0" applyFill="0" applyBorder="0" applyAlignment="0" applyProtection="0">
      <alignment vertical="top"/>
      <protection locked="0"/>
    </xf>
    <xf numFmtId="0" fontId="3" fillId="0" borderId="0">
      <alignment vertical="center"/>
    </xf>
    <xf numFmtId="0" fontId="4" fillId="0" borderId="0"/>
    <xf numFmtId="0" fontId="15" fillId="0" borderId="0" applyNumberFormat="0" applyFill="0" applyBorder="0" applyAlignment="0" applyProtection="0">
      <alignment vertical="center"/>
    </xf>
    <xf numFmtId="0" fontId="21" fillId="0" borderId="0">
      <alignment vertical="center"/>
    </xf>
    <xf numFmtId="0" fontId="44" fillId="0" borderId="0">
      <alignment vertical="center"/>
    </xf>
    <xf numFmtId="0" fontId="30" fillId="0" borderId="0"/>
    <xf numFmtId="0" fontId="55" fillId="0" borderId="0"/>
  </cellStyleXfs>
  <cellXfs count="295">
    <xf numFmtId="0" fontId="0" fillId="0" borderId="0" xfId="0">
      <alignment vertical="center"/>
    </xf>
    <xf numFmtId="0" fontId="0" fillId="2" borderId="0" xfId="0" applyFill="1">
      <alignment vertical="center"/>
    </xf>
    <xf numFmtId="0" fontId="0" fillId="0" borderId="1" xfId="0" applyBorder="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0" fillId="4" borderId="0" xfId="0" applyFill="1">
      <alignment vertical="center"/>
    </xf>
    <xf numFmtId="0" fontId="9" fillId="4" borderId="0" xfId="0" applyFont="1" applyFill="1">
      <alignment vertical="center"/>
    </xf>
    <xf numFmtId="0" fontId="9"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0" fillId="0" borderId="1" xfId="0"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left" vertical="top"/>
    </xf>
    <xf numFmtId="0" fontId="12" fillId="4" borderId="1" xfId="0" applyFont="1" applyFill="1" applyBorder="1" applyAlignment="1">
      <alignment horizontal="center" vertical="center"/>
    </xf>
    <xf numFmtId="0" fontId="11" fillId="0" borderId="1" xfId="0" applyFont="1" applyBorder="1" applyAlignment="1">
      <alignment horizontal="left" vertical="top" wrapText="1"/>
    </xf>
    <xf numFmtId="0" fontId="11" fillId="0" borderId="1" xfId="0" applyFont="1" applyBorder="1" applyAlignment="1">
      <alignment horizontal="left" vertical="center"/>
    </xf>
    <xf numFmtId="0" fontId="8" fillId="0" borderId="0" xfId="0" applyFont="1" applyAlignment="1">
      <alignment horizontal="center" vertical="center"/>
    </xf>
    <xf numFmtId="0" fontId="5" fillId="4" borderId="1" xfId="0" applyFont="1" applyFill="1" applyBorder="1" applyAlignment="1">
      <alignment horizontal="center" vertical="center"/>
    </xf>
    <xf numFmtId="0" fontId="0" fillId="0" borderId="0" xfId="0" applyAlignment="1">
      <alignment horizontal="center" vertical="center"/>
    </xf>
    <xf numFmtId="177" fontId="11" fillId="0" borderId="1" xfId="0" quotePrefix="1" applyNumberFormat="1" applyFont="1" applyBorder="1" applyAlignment="1">
      <alignment horizontal="left" vertical="center"/>
    </xf>
    <xf numFmtId="0" fontId="16" fillId="0" borderId="1" xfId="0" applyFont="1" applyBorder="1" applyAlignment="1">
      <alignment horizontal="left" vertical="top" wrapText="1"/>
    </xf>
    <xf numFmtId="0" fontId="5" fillId="4" borderId="1" xfId="0" applyFont="1" applyFill="1" applyBorder="1" applyAlignment="1">
      <alignment horizontal="center" vertical="top" wrapText="1"/>
    </xf>
    <xf numFmtId="0" fontId="13" fillId="4" borderId="1" xfId="0" applyFont="1" applyFill="1" applyBorder="1" applyAlignment="1">
      <alignment horizontal="center" vertical="top" wrapText="1"/>
    </xf>
    <xf numFmtId="0" fontId="16" fillId="0" borderId="1" xfId="0" applyFont="1" applyBorder="1" applyAlignment="1">
      <alignment horizontal="left" vertical="top"/>
    </xf>
    <xf numFmtId="0" fontId="0" fillId="0" borderId="1" xfId="0" applyBorder="1" applyAlignment="1">
      <alignment horizontal="left" vertical="top"/>
    </xf>
    <xf numFmtId="0" fontId="5" fillId="4" borderId="1" xfId="0" applyFont="1" applyFill="1" applyBorder="1" applyAlignment="1">
      <alignment horizontal="center" vertical="top"/>
    </xf>
    <xf numFmtId="0" fontId="20" fillId="4" borderId="1" xfId="0" applyFont="1" applyFill="1" applyBorder="1" applyAlignment="1">
      <alignment horizontal="center" vertical="top" wrapText="1"/>
    </xf>
    <xf numFmtId="176" fontId="16" fillId="0" borderId="1" xfId="0" applyNumberFormat="1" applyFont="1" applyBorder="1" applyAlignment="1">
      <alignment horizontal="left" vertical="top"/>
    </xf>
    <xf numFmtId="176" fontId="0" fillId="0" borderId="1" xfId="0" applyNumberFormat="1" applyBorder="1" applyAlignment="1">
      <alignment horizontal="left" vertical="top"/>
    </xf>
    <xf numFmtId="0" fontId="16" fillId="0" borderId="0" xfId="0" applyFont="1">
      <alignment vertical="center"/>
    </xf>
    <xf numFmtId="0" fontId="14" fillId="0" borderId="1" xfId="0" applyFont="1" applyBorder="1">
      <alignment vertical="center"/>
    </xf>
    <xf numFmtId="0" fontId="14" fillId="0" borderId="1" xfId="0" applyFont="1" applyBorder="1" applyAlignment="1">
      <alignment horizontal="left" vertical="top"/>
    </xf>
    <xf numFmtId="176" fontId="14" fillId="0" borderId="1" xfId="0" applyNumberFormat="1" applyFont="1" applyBorder="1" applyAlignment="1">
      <alignment horizontal="center" vertical="top"/>
    </xf>
    <xf numFmtId="0" fontId="14" fillId="0" borderId="1" xfId="0" applyFont="1" applyBorder="1" applyAlignment="1">
      <alignment horizontal="left" vertical="top" wrapText="1"/>
    </xf>
    <xf numFmtId="176" fontId="14" fillId="0" borderId="1" xfId="0" applyNumberFormat="1" applyFont="1" applyBorder="1" applyAlignment="1">
      <alignment horizontal="center" vertical="center"/>
    </xf>
    <xf numFmtId="0" fontId="24" fillId="0" borderId="0" xfId="0" applyFont="1">
      <alignment vertical="center"/>
    </xf>
    <xf numFmtId="0" fontId="25" fillId="0" borderId="0" xfId="0" applyFont="1">
      <alignment vertical="center"/>
    </xf>
    <xf numFmtId="0" fontId="26" fillId="0" borderId="0" xfId="0" applyFont="1">
      <alignment vertical="center"/>
    </xf>
    <xf numFmtId="0" fontId="14" fillId="0" borderId="5" xfId="0" applyFont="1" applyBorder="1" applyAlignment="1">
      <alignment horizontal="left" vertical="top"/>
    </xf>
    <xf numFmtId="0" fontId="14" fillId="0" borderId="5" xfId="4" applyFont="1" applyBorder="1" applyAlignment="1">
      <alignment horizontal="left" vertical="top"/>
    </xf>
    <xf numFmtId="0" fontId="14" fillId="0" borderId="6" xfId="0" applyFont="1" applyBorder="1" applyAlignment="1">
      <alignment horizontal="left" vertical="top"/>
    </xf>
    <xf numFmtId="0" fontId="14" fillId="0" borderId="7" xfId="0" applyFont="1" applyBorder="1" applyAlignment="1">
      <alignment horizontal="left" vertical="top"/>
    </xf>
    <xf numFmtId="0" fontId="23" fillId="0" borderId="7" xfId="4" applyFont="1" applyBorder="1" applyAlignment="1">
      <alignment horizontal="left" vertical="top"/>
    </xf>
    <xf numFmtId="0" fontId="14" fillId="0" borderId="5" xfId="0" applyFont="1" applyBorder="1">
      <alignment vertical="center"/>
    </xf>
    <xf numFmtId="0" fontId="14" fillId="0" borderId="0" xfId="0" applyFont="1">
      <alignment vertical="center"/>
    </xf>
    <xf numFmtId="0" fontId="14" fillId="0" borderId="1" xfId="0" applyFont="1" applyBorder="1" applyAlignment="1">
      <alignment horizontal="center" vertical="center"/>
    </xf>
    <xf numFmtId="0" fontId="27" fillId="0" borderId="1" xfId="0" applyFont="1" applyBorder="1" applyAlignment="1">
      <alignment horizontal="left" vertical="center"/>
    </xf>
    <xf numFmtId="0" fontId="27" fillId="0" borderId="1" xfId="0" applyFont="1" applyBorder="1" applyAlignment="1">
      <alignment horizontal="center" vertical="center"/>
    </xf>
    <xf numFmtId="0" fontId="27" fillId="0" borderId="1" xfId="0" applyFont="1" applyBorder="1" applyAlignment="1">
      <alignment horizontal="left" vertical="top" wrapText="1"/>
    </xf>
    <xf numFmtId="0" fontId="27" fillId="0" borderId="1" xfId="0" applyFont="1" applyBorder="1" applyAlignment="1">
      <alignment horizontal="left" vertical="top"/>
    </xf>
    <xf numFmtId="0" fontId="28" fillId="0" borderId="0" xfId="0" applyFont="1">
      <alignment vertical="center"/>
    </xf>
    <xf numFmtId="0" fontId="29" fillId="0" borderId="2" xfId="0" applyFont="1" applyBorder="1" applyAlignment="1">
      <alignment horizontal="center" vertical="top"/>
    </xf>
    <xf numFmtId="0" fontId="29" fillId="0" borderId="4" xfId="0" applyFont="1" applyBorder="1" applyAlignment="1">
      <alignment horizontal="center" vertical="top"/>
    </xf>
    <xf numFmtId="0" fontId="29" fillId="0" borderId="2" xfId="0" applyFont="1" applyBorder="1" applyAlignment="1">
      <alignment vertical="top"/>
    </xf>
    <xf numFmtId="177" fontId="27" fillId="0" borderId="1" xfId="0" quotePrefix="1" applyNumberFormat="1" applyFont="1" applyBorder="1" applyAlignment="1">
      <alignment horizontal="left" vertical="center"/>
    </xf>
    <xf numFmtId="0" fontId="27" fillId="5" borderId="1" xfId="0" applyFont="1" applyFill="1" applyBorder="1" applyAlignment="1">
      <alignment horizontal="left" vertical="center"/>
    </xf>
    <xf numFmtId="0" fontId="27" fillId="5" borderId="1" xfId="0" applyFont="1" applyFill="1" applyBorder="1" applyAlignment="1">
      <alignment horizontal="center" vertical="center"/>
    </xf>
    <xf numFmtId="0" fontId="27" fillId="5" borderId="1" xfId="0" applyFont="1" applyFill="1" applyBorder="1" applyAlignment="1">
      <alignment horizontal="left" vertical="top"/>
    </xf>
    <xf numFmtId="0" fontId="27" fillId="5" borderId="1" xfId="0" applyFont="1" applyFill="1" applyBorder="1" applyAlignment="1">
      <alignment horizontal="left" vertical="top" wrapText="1"/>
    </xf>
    <xf numFmtId="0" fontId="28" fillId="5" borderId="0" xfId="0" applyFont="1" applyFill="1">
      <alignment vertical="center"/>
    </xf>
    <xf numFmtId="0" fontId="29" fillId="5" borderId="1" xfId="0" applyFont="1" applyFill="1" applyBorder="1" applyAlignment="1">
      <alignment vertical="top" wrapText="1"/>
    </xf>
    <xf numFmtId="0" fontId="29" fillId="5" borderId="2" xfId="0" applyFont="1" applyFill="1" applyBorder="1" applyAlignment="1">
      <alignment vertical="top" wrapText="1"/>
    </xf>
    <xf numFmtId="0" fontId="29" fillId="5" borderId="4" xfId="0" applyFont="1" applyFill="1" applyBorder="1" applyAlignment="1">
      <alignment vertical="top" wrapText="1"/>
    </xf>
    <xf numFmtId="0" fontId="14" fillId="5" borderId="0" xfId="0" applyFont="1" applyFill="1">
      <alignment vertical="center"/>
    </xf>
    <xf numFmtId="0" fontId="27" fillId="6" borderId="1" xfId="0" applyFont="1" applyFill="1" applyBorder="1" applyAlignment="1">
      <alignment horizontal="left" vertical="center"/>
    </xf>
    <xf numFmtId="0" fontId="27" fillId="6" borderId="1" xfId="0" applyFont="1" applyFill="1" applyBorder="1" applyAlignment="1">
      <alignment horizontal="center" vertical="center"/>
    </xf>
    <xf numFmtId="0" fontId="27" fillId="6" borderId="1" xfId="0" applyFont="1" applyFill="1" applyBorder="1" applyAlignment="1">
      <alignment horizontal="left" vertical="top" wrapText="1"/>
    </xf>
    <xf numFmtId="0" fontId="27" fillId="6" borderId="1" xfId="0" applyFont="1" applyFill="1" applyBorder="1" applyAlignment="1">
      <alignment horizontal="left" vertical="top"/>
    </xf>
    <xf numFmtId="0" fontId="30" fillId="0" borderId="1" xfId="5" applyFont="1" applyBorder="1" applyAlignment="1">
      <alignment vertical="top"/>
    </xf>
    <xf numFmtId="0" fontId="30" fillId="0" borderId="1" xfId="5" applyFont="1" applyBorder="1" applyAlignment="1">
      <alignment vertical="top" wrapText="1"/>
    </xf>
    <xf numFmtId="14" fontId="14" fillId="0" borderId="1" xfId="0" applyNumberFormat="1" applyFont="1" applyBorder="1">
      <alignment vertical="center"/>
    </xf>
    <xf numFmtId="0" fontId="19" fillId="9" borderId="1" xfId="0" applyFont="1" applyFill="1" applyBorder="1" applyAlignment="1">
      <alignment horizontal="left" vertical="center"/>
    </xf>
    <xf numFmtId="0" fontId="14" fillId="2" borderId="1" xfId="0" applyFont="1" applyFill="1" applyBorder="1">
      <alignment vertical="center"/>
    </xf>
    <xf numFmtId="0" fontId="14" fillId="3" borderId="0" xfId="0" applyFont="1" applyFill="1">
      <alignment vertical="center"/>
    </xf>
    <xf numFmtId="0" fontId="14" fillId="2" borderId="0" xfId="0" applyFont="1" applyFill="1">
      <alignment vertical="center"/>
    </xf>
    <xf numFmtId="0" fontId="14" fillId="0" borderId="7" xfId="0" applyFont="1" applyBorder="1">
      <alignment vertical="center"/>
    </xf>
    <xf numFmtId="0" fontId="16" fillId="0" borderId="1" xfId="0" applyFont="1" applyBorder="1">
      <alignment vertical="center"/>
    </xf>
    <xf numFmtId="0" fontId="16" fillId="0" borderId="5" xfId="0" applyFont="1" applyBorder="1" applyAlignment="1">
      <alignment horizontal="left" vertical="top"/>
    </xf>
    <xf numFmtId="0" fontId="27" fillId="9" borderId="1" xfId="0" applyFont="1" applyFill="1" applyBorder="1" applyAlignment="1">
      <alignment horizontal="left" vertical="center"/>
    </xf>
    <xf numFmtId="0" fontId="27" fillId="9" borderId="1" xfId="0" applyFont="1" applyFill="1" applyBorder="1" applyAlignment="1">
      <alignment horizontal="center" vertical="center"/>
    </xf>
    <xf numFmtId="0" fontId="27" fillId="9" borderId="1" xfId="0" applyFont="1" applyFill="1" applyBorder="1" applyAlignment="1">
      <alignment horizontal="left" vertical="top"/>
    </xf>
    <xf numFmtId="0" fontId="27" fillId="9" borderId="1" xfId="0" applyFont="1" applyFill="1" applyBorder="1" applyAlignment="1">
      <alignment horizontal="left" vertical="top" wrapText="1"/>
    </xf>
    <xf numFmtId="0" fontId="27" fillId="9" borderId="1" xfId="0" quotePrefix="1" applyFont="1" applyFill="1" applyBorder="1" applyAlignment="1">
      <alignment horizontal="left" vertical="top"/>
    </xf>
    <xf numFmtId="0" fontId="27" fillId="9" borderId="1" xfId="0" quotePrefix="1" applyFont="1" applyFill="1" applyBorder="1" applyAlignment="1">
      <alignment horizontal="left" vertical="top" wrapText="1"/>
    </xf>
    <xf numFmtId="0" fontId="19" fillId="0" borderId="1" xfId="0" applyFont="1" applyBorder="1" applyAlignment="1">
      <alignment horizontal="center" vertical="center"/>
    </xf>
    <xf numFmtId="0" fontId="19" fillId="0" borderId="1" xfId="0" applyFont="1" applyBorder="1" applyAlignment="1">
      <alignment horizontal="left" vertical="center"/>
    </xf>
    <xf numFmtId="0" fontId="19" fillId="0" borderId="1" xfId="0" applyFont="1" applyBorder="1" applyAlignment="1">
      <alignment horizontal="left" vertical="top" wrapText="1"/>
    </xf>
    <xf numFmtId="0" fontId="19" fillId="0" borderId="1" xfId="0" applyFont="1" applyBorder="1" applyAlignment="1">
      <alignment horizontal="left" vertical="top"/>
    </xf>
    <xf numFmtId="0" fontId="9" fillId="4" borderId="1" xfId="0" applyFont="1" applyFill="1" applyBorder="1" applyAlignment="1">
      <alignment horizontal="center" vertical="top"/>
    </xf>
    <xf numFmtId="0" fontId="14" fillId="4" borderId="0" xfId="0" applyFont="1" applyFill="1">
      <alignment vertical="center"/>
    </xf>
    <xf numFmtId="0" fontId="27" fillId="0" borderId="0" xfId="0" applyFont="1">
      <alignment vertical="center"/>
    </xf>
    <xf numFmtId="0" fontId="27" fillId="0" borderId="1" xfId="0" applyFont="1" applyBorder="1" applyAlignment="1">
      <alignment vertical="top" wrapText="1"/>
    </xf>
    <xf numFmtId="0" fontId="34" fillId="0" borderId="0" xfId="0" applyFont="1">
      <alignment vertical="center"/>
    </xf>
    <xf numFmtId="0" fontId="35" fillId="0" borderId="0" xfId="0" applyFont="1">
      <alignment vertical="center"/>
    </xf>
    <xf numFmtId="0" fontId="32" fillId="0" borderId="1" xfId="0" applyFont="1" applyBorder="1" applyAlignment="1">
      <alignment vertical="top" wrapText="1"/>
    </xf>
    <xf numFmtId="0" fontId="33" fillId="0" borderId="1" xfId="0" applyFont="1" applyBorder="1" applyAlignment="1">
      <alignment vertical="top" wrapText="1"/>
    </xf>
    <xf numFmtId="0" fontId="32" fillId="0" borderId="2" xfId="0" applyFont="1" applyBorder="1" applyAlignment="1">
      <alignment vertical="top" wrapText="1"/>
    </xf>
    <xf numFmtId="0" fontId="32" fillId="7" borderId="1" xfId="0" applyFont="1" applyFill="1" applyBorder="1" applyAlignment="1">
      <alignment vertical="top" wrapText="1"/>
    </xf>
    <xf numFmtId="0" fontId="32" fillId="0" borderId="1" xfId="0" applyFont="1" applyBorder="1" applyAlignment="1">
      <alignment vertical="top"/>
    </xf>
    <xf numFmtId="0" fontId="33" fillId="0" borderId="1" xfId="0" applyFont="1" applyBorder="1" applyAlignment="1">
      <alignment horizontal="center" vertical="top"/>
    </xf>
    <xf numFmtId="0" fontId="32" fillId="7" borderId="2" xfId="0" applyFont="1" applyFill="1" applyBorder="1" applyAlignment="1">
      <alignment horizontal="center" vertical="top"/>
    </xf>
    <xf numFmtId="0" fontId="32" fillId="7" borderId="3" xfId="0" applyFont="1" applyFill="1" applyBorder="1" applyAlignment="1">
      <alignment horizontal="center" vertical="top"/>
    </xf>
    <xf numFmtId="0" fontId="32" fillId="7" borderId="4" xfId="0" applyFont="1" applyFill="1" applyBorder="1" applyAlignment="1">
      <alignment horizontal="center" vertical="top"/>
    </xf>
    <xf numFmtId="0" fontId="38" fillId="0" borderId="0" xfId="0" applyFont="1" applyAlignment="1">
      <alignment horizontal="left" vertical="center"/>
    </xf>
    <xf numFmtId="0" fontId="19" fillId="0" borderId="1" xfId="0" quotePrefix="1" applyFont="1" applyBorder="1" applyAlignment="1">
      <alignment horizontal="left" vertical="top" wrapText="1"/>
    </xf>
    <xf numFmtId="0" fontId="31" fillId="4" borderId="1" xfId="0" applyFont="1" applyFill="1" applyBorder="1" applyAlignment="1">
      <alignment horizontal="center" vertical="center"/>
    </xf>
    <xf numFmtId="0" fontId="28" fillId="4" borderId="0" xfId="0" applyFont="1" applyFill="1">
      <alignment vertical="center"/>
    </xf>
    <xf numFmtId="0" fontId="28" fillId="2" borderId="0" xfId="0" applyFont="1" applyFill="1">
      <alignment vertical="center"/>
    </xf>
    <xf numFmtId="0" fontId="37" fillId="0" borderId="1" xfId="0" applyFont="1" applyBorder="1" applyAlignment="1">
      <alignment horizontal="left" vertical="top" wrapText="1"/>
    </xf>
    <xf numFmtId="0" fontId="17"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39" fillId="4" borderId="1" xfId="0" applyFont="1" applyFill="1" applyBorder="1" applyAlignment="1">
      <alignment horizontal="center" vertical="center"/>
    </xf>
    <xf numFmtId="0" fontId="5" fillId="4" borderId="0" xfId="0" applyFont="1" applyFill="1">
      <alignment vertical="center"/>
    </xf>
    <xf numFmtId="0" fontId="33" fillId="0" borderId="2" xfId="0" applyFont="1" applyBorder="1" applyAlignment="1">
      <alignment horizontal="center" vertical="top" wrapText="1"/>
    </xf>
    <xf numFmtId="0" fontId="34" fillId="8" borderId="0" xfId="0" applyFont="1" applyFill="1">
      <alignment vertical="center"/>
    </xf>
    <xf numFmtId="0" fontId="27" fillId="8" borderId="1" xfId="0" applyFont="1" applyFill="1" applyBorder="1" applyAlignment="1">
      <alignment horizontal="left" vertical="center"/>
    </xf>
    <xf numFmtId="0" fontId="27" fillId="8" borderId="1" xfId="0" applyFont="1" applyFill="1" applyBorder="1" applyAlignment="1">
      <alignment horizontal="center" vertical="center"/>
    </xf>
    <xf numFmtId="0" fontId="27" fillId="8" borderId="1" xfId="0" applyFont="1" applyFill="1" applyBorder="1" applyAlignment="1">
      <alignment horizontal="left" vertical="top"/>
    </xf>
    <xf numFmtId="0" fontId="27" fillId="8" borderId="1" xfId="0" applyFont="1" applyFill="1" applyBorder="1" applyAlignment="1">
      <alignment horizontal="left" vertical="top" wrapText="1"/>
    </xf>
    <xf numFmtId="0" fontId="35" fillId="8" borderId="0" xfId="0" applyFont="1" applyFill="1">
      <alignment vertical="center"/>
    </xf>
    <xf numFmtId="0" fontId="27" fillId="7" borderId="1" xfId="0" applyFont="1" applyFill="1" applyBorder="1" applyAlignment="1">
      <alignment horizontal="center" vertical="top"/>
    </xf>
    <xf numFmtId="0" fontId="19" fillId="5" borderId="1" xfId="0" applyFont="1" applyFill="1" applyBorder="1" applyAlignment="1">
      <alignment horizontal="left" vertical="top"/>
    </xf>
    <xf numFmtId="0" fontId="19" fillId="8" borderId="1" xfId="0" applyFont="1" applyFill="1" applyBorder="1" applyAlignment="1">
      <alignment horizontal="left" vertical="center"/>
    </xf>
    <xf numFmtId="0" fontId="33" fillId="0" borderId="1" xfId="0" applyFont="1" applyBorder="1" applyAlignment="1">
      <alignment horizontal="center" vertical="top" wrapText="1"/>
    </xf>
    <xf numFmtId="0" fontId="14" fillId="0" borderId="1" xfId="0" applyFont="1" applyBorder="1" applyAlignment="1">
      <alignment vertical="center" wrapText="1"/>
    </xf>
    <xf numFmtId="0" fontId="42" fillId="0" borderId="1" xfId="4" applyFont="1" applyBorder="1">
      <alignment vertical="center"/>
    </xf>
    <xf numFmtId="0" fontId="42" fillId="0" borderId="0" xfId="4" applyFont="1">
      <alignment vertical="center"/>
    </xf>
    <xf numFmtId="0" fontId="16" fillId="4" borderId="0" xfId="0" applyFont="1" applyFill="1">
      <alignment vertical="center"/>
    </xf>
    <xf numFmtId="0" fontId="39" fillId="4" borderId="0" xfId="0" applyFont="1" applyFill="1">
      <alignment vertical="center"/>
    </xf>
    <xf numFmtId="0" fontId="16" fillId="2" borderId="0" xfId="0" applyFont="1" applyFill="1">
      <alignment vertical="center"/>
    </xf>
    <xf numFmtId="0" fontId="16" fillId="0" borderId="1" xfId="0" applyFont="1" applyBorder="1" applyAlignment="1">
      <alignment horizontal="center" vertical="center"/>
    </xf>
    <xf numFmtId="0" fontId="43" fillId="4" borderId="1" xfId="0" applyFont="1" applyFill="1" applyBorder="1" applyAlignment="1">
      <alignment horizontal="center" vertical="center"/>
    </xf>
    <xf numFmtId="0" fontId="41" fillId="4" borderId="1" xfId="0" applyFont="1" applyFill="1" applyBorder="1" applyAlignment="1">
      <alignment horizontal="center" vertical="center"/>
    </xf>
    <xf numFmtId="177" fontId="19" fillId="0" borderId="1" xfId="0" quotePrefix="1" applyNumberFormat="1" applyFont="1" applyBorder="1" applyAlignment="1">
      <alignment horizontal="left" vertical="center"/>
    </xf>
    <xf numFmtId="0" fontId="5" fillId="3" borderId="0" xfId="0" applyFont="1" applyFill="1">
      <alignment vertical="center"/>
    </xf>
    <xf numFmtId="0" fontId="27" fillId="2" borderId="1" xfId="0" applyFont="1" applyFill="1" applyBorder="1" applyAlignment="1">
      <alignment horizontal="left" vertical="center"/>
    </xf>
    <xf numFmtId="0" fontId="27" fillId="0" borderId="1" xfId="6" applyFont="1" applyBorder="1" applyAlignment="1">
      <alignment horizontal="left" vertical="center"/>
    </xf>
    <xf numFmtId="0" fontId="45" fillId="0" borderId="1" xfId="0" applyFont="1" applyBorder="1" applyAlignment="1">
      <alignment horizontal="left" vertical="top"/>
    </xf>
    <xf numFmtId="0" fontId="45" fillId="0" borderId="1" xfId="0" applyFont="1" applyBorder="1" applyAlignment="1">
      <alignment horizontal="left" vertical="top" wrapText="1"/>
    </xf>
    <xf numFmtId="0" fontId="27" fillId="0" borderId="1" xfId="0" quotePrefix="1" applyFont="1" applyBorder="1" applyAlignment="1">
      <alignment horizontal="left" vertical="top" wrapText="1"/>
    </xf>
    <xf numFmtId="0" fontId="46" fillId="0" borderId="0" xfId="0" applyFont="1" applyAlignment="1">
      <alignment horizontal="left" vertical="center"/>
    </xf>
    <xf numFmtId="0" fontId="47" fillId="0" borderId="0" xfId="0" applyFont="1">
      <alignment vertical="center"/>
    </xf>
    <xf numFmtId="0" fontId="15" fillId="0" borderId="1" xfId="4" applyBorder="1">
      <alignment vertical="center"/>
    </xf>
    <xf numFmtId="0" fontId="27" fillId="11" borderId="1" xfId="0" applyFont="1" applyFill="1" applyBorder="1" applyAlignment="1">
      <alignment horizontal="left" vertical="center"/>
    </xf>
    <xf numFmtId="0" fontId="27" fillId="11" borderId="1" xfId="0" applyFont="1" applyFill="1" applyBorder="1" applyAlignment="1">
      <alignment horizontal="center" vertical="center"/>
    </xf>
    <xf numFmtId="0" fontId="27" fillId="11" borderId="1" xfId="0" applyFont="1" applyFill="1" applyBorder="1" applyAlignment="1">
      <alignment horizontal="left" vertical="top"/>
    </xf>
    <xf numFmtId="0" fontId="27" fillId="11" borderId="1" xfId="0" applyFont="1" applyFill="1" applyBorder="1" applyAlignment="1">
      <alignment horizontal="left" vertical="top" wrapText="1"/>
    </xf>
    <xf numFmtId="0" fontId="35" fillId="11" borderId="0" xfId="0" applyFont="1" applyFill="1">
      <alignment vertical="center"/>
    </xf>
    <xf numFmtId="0" fontId="27" fillId="11" borderId="1" xfId="0" applyFont="1" applyFill="1" applyBorder="1" applyAlignment="1">
      <alignment horizontal="center" vertical="top"/>
    </xf>
    <xf numFmtId="0" fontId="34" fillId="11" borderId="0" xfId="0" applyFont="1" applyFill="1">
      <alignment vertical="center"/>
    </xf>
    <xf numFmtId="0" fontId="19" fillId="8" borderId="1" xfId="0" applyFont="1" applyFill="1" applyBorder="1" applyAlignment="1">
      <alignment horizontal="center" vertical="center"/>
    </xf>
    <xf numFmtId="0" fontId="19" fillId="8" borderId="1" xfId="0" applyFont="1" applyFill="1" applyBorder="1" applyAlignment="1">
      <alignment horizontal="left" vertical="top"/>
    </xf>
    <xf numFmtId="0" fontId="19" fillId="2" borderId="1" xfId="0" applyFont="1" applyFill="1" applyBorder="1" applyAlignment="1">
      <alignment horizontal="left" vertical="center"/>
    </xf>
    <xf numFmtId="0" fontId="14" fillId="5" borderId="1" xfId="0" applyFont="1" applyFill="1" applyBorder="1">
      <alignment vertical="center"/>
    </xf>
    <xf numFmtId="0" fontId="42" fillId="5" borderId="1" xfId="4" applyFont="1" applyFill="1" applyBorder="1">
      <alignment vertical="center"/>
    </xf>
    <xf numFmtId="0" fontId="14" fillId="5" borderId="1" xfId="0" applyFont="1" applyFill="1" applyBorder="1" applyAlignment="1">
      <alignment horizontal="left" vertical="top"/>
    </xf>
    <xf numFmtId="176" fontId="14" fillId="5" borderId="1" xfId="0" applyNumberFormat="1" applyFont="1" applyFill="1" applyBorder="1" applyAlignment="1">
      <alignment horizontal="center" vertical="top"/>
    </xf>
    <xf numFmtId="0" fontId="0" fillId="5" borderId="0" xfId="0" applyFill="1">
      <alignment vertical="center"/>
    </xf>
    <xf numFmtId="0" fontId="27" fillId="0" borderId="2" xfId="0" applyFont="1" applyBorder="1" applyAlignment="1">
      <alignment horizontal="center" vertical="top" wrapText="1"/>
    </xf>
    <xf numFmtId="0" fontId="35" fillId="0" borderId="1" xfId="0" applyFont="1" applyBorder="1">
      <alignment vertical="center"/>
    </xf>
    <xf numFmtId="0" fontId="35" fillId="11" borderId="1" xfId="0" applyFont="1" applyFill="1" applyBorder="1">
      <alignment vertical="center"/>
    </xf>
    <xf numFmtId="0" fontId="35" fillId="8" borderId="1" xfId="0" applyFont="1" applyFill="1" applyBorder="1">
      <alignment vertical="center"/>
    </xf>
    <xf numFmtId="0" fontId="35" fillId="0" borderId="1" xfId="0" applyFont="1" applyBorder="1" applyAlignment="1">
      <alignment horizontal="center" vertical="center"/>
    </xf>
    <xf numFmtId="0" fontId="35" fillId="11" borderId="1" xfId="0" applyFont="1" applyFill="1" applyBorder="1" applyAlignment="1">
      <alignment horizontal="center" vertical="center"/>
    </xf>
    <xf numFmtId="0" fontId="35" fillId="8" borderId="1" xfId="0" applyFont="1" applyFill="1" applyBorder="1" applyAlignment="1">
      <alignment horizontal="center" vertical="center"/>
    </xf>
    <xf numFmtId="0" fontId="35" fillId="0" borderId="0" xfId="0" applyFont="1" applyAlignment="1">
      <alignment horizontal="center" vertical="center"/>
    </xf>
    <xf numFmtId="0" fontId="35" fillId="11" borderId="0" xfId="0" applyFont="1" applyFill="1" applyAlignment="1">
      <alignment horizontal="center" vertical="center"/>
    </xf>
    <xf numFmtId="0" fontId="35" fillId="8" borderId="0" xfId="0" applyFont="1" applyFill="1" applyAlignment="1">
      <alignment horizontal="center" vertical="center"/>
    </xf>
    <xf numFmtId="0" fontId="35" fillId="5" borderId="1" xfId="0" applyFont="1" applyFill="1" applyBorder="1" applyAlignment="1">
      <alignment horizontal="center" vertical="center"/>
    </xf>
    <xf numFmtId="0" fontId="35" fillId="5" borderId="1" xfId="0" applyFont="1" applyFill="1" applyBorder="1">
      <alignment vertical="center"/>
    </xf>
    <xf numFmtId="0" fontId="27" fillId="0" borderId="2" xfId="0" applyFont="1" applyBorder="1" applyAlignment="1">
      <alignment vertical="top"/>
    </xf>
    <xf numFmtId="0" fontId="27" fillId="7" borderId="2" xfId="0" applyFont="1" applyFill="1" applyBorder="1" applyAlignment="1">
      <alignment horizontal="center" vertical="top"/>
    </xf>
    <xf numFmtId="0" fontId="27" fillId="0" borderId="1" xfId="0" applyFont="1" applyBorder="1" applyAlignment="1">
      <alignment horizontal="center" vertical="top" wrapText="1"/>
    </xf>
    <xf numFmtId="0" fontId="27" fillId="0" borderId="2" xfId="0" applyFont="1" applyBorder="1" applyAlignment="1">
      <alignment vertical="top" wrapText="1"/>
    </xf>
    <xf numFmtId="0" fontId="27" fillId="0" borderId="1" xfId="0" applyFont="1" applyBorder="1" applyAlignment="1">
      <alignment vertical="top"/>
    </xf>
    <xf numFmtId="0" fontId="27" fillId="0" borderId="2" xfId="0" applyFont="1" applyBorder="1">
      <alignment vertical="center"/>
    </xf>
    <xf numFmtId="0" fontId="27" fillId="0" borderId="1" xfId="0" applyFont="1" applyBorder="1">
      <alignment vertical="center"/>
    </xf>
    <xf numFmtId="0" fontId="37" fillId="10" borderId="1" xfId="0" applyFont="1" applyFill="1" applyBorder="1" applyAlignment="1">
      <alignment vertical="top" wrapText="1"/>
    </xf>
    <xf numFmtId="0" fontId="37" fillId="10" borderId="1" xfId="0" applyFont="1" applyFill="1" applyBorder="1" applyAlignment="1">
      <alignment vertical="top"/>
    </xf>
    <xf numFmtId="0" fontId="27" fillId="7" borderId="1" xfId="0" applyFont="1" applyFill="1" applyBorder="1" applyAlignment="1">
      <alignment vertical="top" wrapText="1"/>
    </xf>
    <xf numFmtId="0" fontId="37" fillId="11" borderId="1" xfId="0" applyFont="1" applyFill="1" applyBorder="1" applyAlignment="1">
      <alignment vertical="top" wrapText="1"/>
    </xf>
    <xf numFmtId="0" fontId="27" fillId="8" borderId="2" xfId="0" applyFont="1" applyFill="1" applyBorder="1" applyAlignment="1">
      <alignment vertical="top" wrapText="1"/>
    </xf>
    <xf numFmtId="0" fontId="27" fillId="8" borderId="1" xfId="0" applyFont="1" applyFill="1" applyBorder="1" applyAlignment="1">
      <alignment vertical="top" wrapText="1"/>
    </xf>
    <xf numFmtId="0" fontId="48" fillId="0" borderId="1" xfId="0" applyFont="1" applyBorder="1" applyAlignment="1">
      <alignment horizontal="center" vertical="center"/>
    </xf>
    <xf numFmtId="0" fontId="45" fillId="7" borderId="1" xfId="0" applyFont="1" applyFill="1" applyBorder="1" applyAlignment="1">
      <alignment vertical="top" wrapText="1"/>
    </xf>
    <xf numFmtId="0" fontId="33" fillId="8" borderId="1" xfId="0" applyFont="1" applyFill="1" applyBorder="1" applyAlignment="1">
      <alignment vertical="top" wrapText="1"/>
    </xf>
    <xf numFmtId="56" fontId="16" fillId="0" borderId="1" xfId="0" applyNumberFormat="1" applyFont="1" applyBorder="1">
      <alignment vertical="center"/>
    </xf>
    <xf numFmtId="0" fontId="16" fillId="0" borderId="1" xfId="0" applyFont="1" applyBorder="1" applyAlignment="1">
      <alignment wrapText="1"/>
    </xf>
    <xf numFmtId="0" fontId="51" fillId="0" borderId="1" xfId="0" applyFont="1" applyBorder="1" applyAlignment="1">
      <alignment wrapText="1"/>
    </xf>
    <xf numFmtId="0" fontId="52" fillId="0" borderId="0" xfId="1" applyFont="1" applyAlignment="1" applyProtection="1"/>
    <xf numFmtId="0" fontId="29" fillId="0" borderId="0" xfId="7" applyFont="1" applyAlignment="1">
      <alignment horizontal="left" vertical="top" wrapText="1"/>
    </xf>
    <xf numFmtId="0" fontId="29" fillId="0" borderId="0" xfId="7" applyFont="1" applyAlignment="1">
      <alignment horizontal="center"/>
    </xf>
    <xf numFmtId="0" fontId="29" fillId="0" borderId="0" xfId="7" applyFont="1"/>
    <xf numFmtId="0" fontId="50" fillId="0" borderId="0" xfId="7" applyFont="1"/>
    <xf numFmtId="0" fontId="53" fillId="12" borderId="0" xfId="7" applyFont="1" applyFill="1"/>
    <xf numFmtId="0" fontId="53" fillId="12" borderId="0" xfId="7" applyFont="1" applyFill="1" applyAlignment="1">
      <alignment horizontal="center"/>
    </xf>
    <xf numFmtId="0" fontId="54" fillId="12" borderId="0" xfId="7" applyFont="1" applyFill="1"/>
    <xf numFmtId="0" fontId="29" fillId="13" borderId="0" xfId="7" applyFont="1" applyFill="1"/>
    <xf numFmtId="0" fontId="29" fillId="13" borderId="0" xfId="7" applyFont="1" applyFill="1" applyAlignment="1">
      <alignment horizontal="center"/>
    </xf>
    <xf numFmtId="0" fontId="50" fillId="13" borderId="0" xfId="7" applyFont="1" applyFill="1"/>
    <xf numFmtId="0" fontId="29" fillId="12" borderId="1" xfId="7" applyFont="1" applyFill="1" applyBorder="1" applyAlignment="1">
      <alignment horizontal="center"/>
    </xf>
    <xf numFmtId="0" fontId="29" fillId="0" borderId="0" xfId="7" applyFont="1" applyAlignment="1">
      <alignment horizontal="center" wrapText="1"/>
    </xf>
    <xf numFmtId="0" fontId="50" fillId="0" borderId="0" xfId="7" applyFont="1" applyAlignment="1">
      <alignment horizontal="center"/>
    </xf>
    <xf numFmtId="0" fontId="29" fillId="0" borderId="1" xfId="7" applyFont="1" applyBorder="1" applyAlignment="1">
      <alignment wrapText="1"/>
    </xf>
    <xf numFmtId="0" fontId="29" fillId="12" borderId="1" xfId="7" applyFont="1" applyFill="1" applyBorder="1" applyAlignment="1">
      <alignment horizontal="center" wrapText="1"/>
    </xf>
    <xf numFmtId="0" fontId="29" fillId="12" borderId="1" xfId="7" applyFont="1" applyFill="1" applyBorder="1" applyAlignment="1">
      <alignment horizontal="center" vertical="top"/>
    </xf>
    <xf numFmtId="0" fontId="29" fillId="12" borderId="1" xfId="8" applyFont="1" applyFill="1" applyBorder="1" applyAlignment="1">
      <alignment horizontal="center" wrapText="1"/>
    </xf>
    <xf numFmtId="0" fontId="50" fillId="12" borderId="1" xfId="8" applyFont="1" applyFill="1" applyBorder="1" applyAlignment="1">
      <alignment horizontal="center" wrapText="1"/>
    </xf>
    <xf numFmtId="0" fontId="50" fillId="12" borderId="1" xfId="7" applyFont="1" applyFill="1" applyBorder="1" applyAlignment="1">
      <alignment horizontal="center"/>
    </xf>
    <xf numFmtId="0" fontId="29" fillId="0" borderId="1" xfId="7" applyFont="1" applyBorder="1"/>
    <xf numFmtId="0" fontId="29" fillId="0" borderId="1" xfId="7" applyFont="1" applyBorder="1" applyAlignment="1">
      <alignment horizontal="left" vertical="top" wrapText="1"/>
    </xf>
    <xf numFmtId="0" fontId="29" fillId="0" borderId="1" xfId="7" applyFont="1" applyBorder="1" applyAlignment="1">
      <alignment horizontal="center"/>
    </xf>
    <xf numFmtId="0" fontId="50" fillId="0" borderId="1" xfId="7" applyFont="1" applyBorder="1" applyAlignment="1">
      <alignment wrapText="1"/>
    </xf>
    <xf numFmtId="0" fontId="50" fillId="0" borderId="1" xfId="7" applyFont="1" applyBorder="1"/>
    <xf numFmtId="0" fontId="50" fillId="0" borderId="0" xfId="7" applyFont="1" applyAlignment="1">
      <alignment vertical="top"/>
    </xf>
    <xf numFmtId="49" fontId="29" fillId="0" borderId="1" xfId="7" applyNumberFormat="1" applyFont="1" applyBorder="1"/>
    <xf numFmtId="49" fontId="50" fillId="0" borderId="1" xfId="7" applyNumberFormat="1" applyFont="1" applyBorder="1"/>
    <xf numFmtId="0" fontId="32" fillId="0" borderId="1" xfId="7" applyFont="1" applyBorder="1" applyAlignment="1">
      <alignment wrapText="1"/>
    </xf>
    <xf numFmtId="0" fontId="27" fillId="0" borderId="1" xfId="7" applyFont="1" applyBorder="1" applyAlignment="1">
      <alignment wrapText="1"/>
    </xf>
    <xf numFmtId="0" fontId="27" fillId="0" borderId="1" xfId="7" applyFont="1" applyBorder="1" applyAlignment="1">
      <alignment horizontal="left" vertical="top" wrapText="1"/>
    </xf>
    <xf numFmtId="0" fontId="27" fillId="0" borderId="1" xfId="7" applyFont="1" applyBorder="1" applyAlignment="1">
      <alignment horizontal="center"/>
    </xf>
    <xf numFmtId="0" fontId="27" fillId="0" borderId="1" xfId="7" applyFont="1" applyBorder="1"/>
    <xf numFmtId="0" fontId="27" fillId="0" borderId="0" xfId="7" applyFont="1" applyAlignment="1">
      <alignment horizontal="left" vertical="top" wrapText="1"/>
    </xf>
    <xf numFmtId="0" fontId="57" fillId="0" borderId="1" xfId="0" applyFont="1" applyBorder="1" applyAlignment="1">
      <alignment horizontal="left" vertical="top" wrapText="1"/>
    </xf>
    <xf numFmtId="0" fontId="16" fillId="0" borderId="1" xfId="0" applyFont="1" applyBorder="1" applyAlignment="1">
      <alignment vertical="center" wrapText="1"/>
    </xf>
    <xf numFmtId="0" fontId="27" fillId="7" borderId="2" xfId="0" applyFont="1" applyFill="1" applyBorder="1" applyAlignment="1">
      <alignment horizontal="center" vertical="top"/>
    </xf>
    <xf numFmtId="0" fontId="27" fillId="7" borderId="3" xfId="0" applyFont="1" applyFill="1" applyBorder="1" applyAlignment="1">
      <alignment horizontal="center" vertical="top"/>
    </xf>
    <xf numFmtId="0" fontId="27" fillId="7" borderId="4" xfId="0" applyFont="1" applyFill="1" applyBorder="1" applyAlignment="1">
      <alignment horizontal="center" vertical="top"/>
    </xf>
    <xf numFmtId="0" fontId="27" fillId="0" borderId="2" xfId="0" applyFont="1" applyBorder="1" applyAlignment="1">
      <alignment horizontal="center" vertical="top"/>
    </xf>
    <xf numFmtId="0" fontId="27" fillId="0" borderId="3" xfId="0" applyFont="1" applyBorder="1" applyAlignment="1">
      <alignment horizontal="center" vertical="top"/>
    </xf>
    <xf numFmtId="0" fontId="27" fillId="0" borderId="4" xfId="0" applyFont="1" applyBorder="1" applyAlignment="1">
      <alignment horizontal="center" vertical="top"/>
    </xf>
    <xf numFmtId="0" fontId="27" fillId="0" borderId="2" xfId="0" applyFont="1" applyBorder="1" applyAlignment="1">
      <alignment horizontal="center" vertical="top" wrapText="1"/>
    </xf>
    <xf numFmtId="0" fontId="27" fillId="0" borderId="3" xfId="0" applyFont="1" applyBorder="1" applyAlignment="1">
      <alignment horizontal="center" vertical="top" wrapText="1"/>
    </xf>
    <xf numFmtId="0" fontId="27" fillId="0" borderId="4" xfId="0" applyFont="1" applyBorder="1" applyAlignment="1">
      <alignment horizontal="center" vertical="top" wrapText="1"/>
    </xf>
    <xf numFmtId="0" fontId="9" fillId="4" borderId="2"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4" xfId="0" applyFont="1" applyFill="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left" vertical="center"/>
    </xf>
    <xf numFmtId="0" fontId="14" fillId="0" borderId="3" xfId="0" applyFont="1" applyBorder="1" applyAlignment="1">
      <alignment horizontal="left" vertical="center"/>
    </xf>
    <xf numFmtId="0" fontId="14" fillId="0" borderId="4" xfId="0" applyFont="1" applyBorder="1" applyAlignment="1">
      <alignment horizontal="left" vertical="center"/>
    </xf>
    <xf numFmtId="0" fontId="27" fillId="0" borderId="1" xfId="0" applyFont="1" applyBorder="1" applyAlignment="1">
      <alignment horizontal="center" vertical="top"/>
    </xf>
    <xf numFmtId="0" fontId="27" fillId="0" borderId="1" xfId="0" applyFont="1" applyBorder="1" applyAlignment="1">
      <alignment horizontal="center" vertical="top" wrapText="1"/>
    </xf>
    <xf numFmtId="0" fontId="27" fillId="8" borderId="2" xfId="0" applyFont="1" applyFill="1" applyBorder="1" applyAlignment="1">
      <alignment horizontal="center" vertical="top" wrapText="1"/>
    </xf>
    <xf numFmtId="0" fontId="27" fillId="8" borderId="3" xfId="0" applyFont="1" applyFill="1" applyBorder="1" applyAlignment="1">
      <alignment horizontal="center" vertical="top" wrapText="1"/>
    </xf>
    <xf numFmtId="0" fontId="27" fillId="8" borderId="4" xfId="0" applyFont="1" applyFill="1" applyBorder="1" applyAlignment="1">
      <alignment horizontal="center" vertical="top" wrapText="1"/>
    </xf>
    <xf numFmtId="0" fontId="27" fillId="0" borderId="2" xfId="0" applyFont="1" applyBorder="1" applyAlignment="1">
      <alignment horizontal="center" vertical="center"/>
    </xf>
    <xf numFmtId="0" fontId="27" fillId="0" borderId="3" xfId="0" applyFont="1" applyBorder="1" applyAlignment="1">
      <alignment horizontal="center" vertical="center"/>
    </xf>
    <xf numFmtId="0" fontId="27" fillId="0" borderId="4" xfId="0" applyFont="1" applyBorder="1" applyAlignment="1">
      <alignment horizontal="center" vertical="center"/>
    </xf>
    <xf numFmtId="0" fontId="33" fillId="8" borderId="2" xfId="0" applyFont="1" applyFill="1" applyBorder="1" applyAlignment="1">
      <alignment horizontal="center" vertical="top" wrapText="1"/>
    </xf>
    <xf numFmtId="0" fontId="33" fillId="8" borderId="3" xfId="0" applyFont="1" applyFill="1" applyBorder="1" applyAlignment="1">
      <alignment horizontal="center" vertical="top" wrapText="1"/>
    </xf>
    <xf numFmtId="0" fontId="33" fillId="8" borderId="4" xfId="0" applyFont="1" applyFill="1" applyBorder="1" applyAlignment="1">
      <alignment horizontal="center" vertical="top" wrapText="1"/>
    </xf>
    <xf numFmtId="0" fontId="32" fillId="7" borderId="2" xfId="0" applyFont="1" applyFill="1" applyBorder="1" applyAlignment="1">
      <alignment horizontal="center" vertical="top"/>
    </xf>
    <xf numFmtId="0" fontId="32" fillId="7" borderId="3" xfId="0" applyFont="1" applyFill="1" applyBorder="1" applyAlignment="1">
      <alignment horizontal="center" vertical="top"/>
    </xf>
    <xf numFmtId="0" fontId="32" fillId="7" borderId="4" xfId="0" applyFont="1" applyFill="1" applyBorder="1" applyAlignment="1">
      <alignment horizontal="center" vertical="top"/>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2" fillId="0" borderId="4" xfId="0" applyFont="1" applyBorder="1" applyAlignment="1">
      <alignment horizontal="center" vertical="center"/>
    </xf>
    <xf numFmtId="0" fontId="33" fillId="0" borderId="2" xfId="0" applyFont="1" applyBorder="1" applyAlignment="1">
      <alignment horizontal="center" vertical="top"/>
    </xf>
    <xf numFmtId="0" fontId="33" fillId="0" borderId="3" xfId="0" applyFont="1" applyBorder="1" applyAlignment="1">
      <alignment horizontal="center" vertical="top"/>
    </xf>
    <xf numFmtId="0" fontId="33" fillId="0" borderId="4" xfId="0" applyFont="1" applyBorder="1" applyAlignment="1">
      <alignment horizontal="center" vertical="top"/>
    </xf>
    <xf numFmtId="0" fontId="33" fillId="0" borderId="2" xfId="0" applyFont="1" applyBorder="1" applyAlignment="1">
      <alignment horizontal="center" vertical="top" wrapText="1"/>
    </xf>
    <xf numFmtId="0" fontId="33" fillId="0" borderId="3" xfId="0" applyFont="1" applyBorder="1" applyAlignment="1">
      <alignment horizontal="center" vertical="top" wrapText="1"/>
    </xf>
    <xf numFmtId="0" fontId="33" fillId="0" borderId="4" xfId="0" applyFont="1" applyBorder="1" applyAlignment="1">
      <alignment horizontal="center" vertical="top" wrapText="1"/>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19" fillId="0" borderId="1" xfId="0" applyFont="1" applyBorder="1" applyAlignment="1">
      <alignment horizontal="center" vertical="top"/>
    </xf>
    <xf numFmtId="0" fontId="33" fillId="0" borderId="2" xfId="0" applyFont="1" applyBorder="1" applyAlignment="1">
      <alignment horizontal="center" vertical="center"/>
    </xf>
    <xf numFmtId="0" fontId="33" fillId="0" borderId="3" xfId="0" applyFont="1" applyBorder="1" applyAlignment="1">
      <alignment horizontal="center" vertical="center"/>
    </xf>
    <xf numFmtId="0" fontId="33" fillId="0" borderId="4" xfId="0" applyFont="1" applyBorder="1" applyAlignment="1">
      <alignment horizontal="center" vertical="center"/>
    </xf>
    <xf numFmtId="0" fontId="27" fillId="0" borderId="2" xfId="0" applyFont="1" applyBorder="1" applyAlignment="1">
      <alignment horizontal="left" vertical="center"/>
    </xf>
    <xf numFmtId="0" fontId="27" fillId="0" borderId="3" xfId="0" applyFont="1" applyBorder="1" applyAlignment="1">
      <alignment horizontal="left" vertical="center"/>
    </xf>
    <xf numFmtId="0" fontId="27" fillId="0" borderId="4" xfId="0" applyFont="1" applyBorder="1" applyAlignment="1">
      <alignment horizontal="left" vertical="center"/>
    </xf>
    <xf numFmtId="0" fontId="39" fillId="4" borderId="2" xfId="0" applyFont="1" applyFill="1" applyBorder="1" applyAlignment="1">
      <alignment horizontal="center" vertical="center"/>
    </xf>
    <xf numFmtId="0" fontId="39" fillId="4" borderId="3" xfId="0" applyFont="1" applyFill="1" applyBorder="1" applyAlignment="1">
      <alignment horizontal="center" vertical="center"/>
    </xf>
    <xf numFmtId="0" fontId="39" fillId="4" borderId="4" xfId="0" applyFont="1" applyFill="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8" fillId="0" borderId="1" xfId="0" applyFont="1" applyBorder="1" applyAlignment="1">
      <alignment horizontal="left" vertical="center"/>
    </xf>
    <xf numFmtId="0" fontId="48" fillId="0" borderId="1" xfId="0" applyFont="1" applyBorder="1">
      <alignment vertical="center"/>
    </xf>
  </cellXfs>
  <cellStyles count="9">
    <cellStyle name="ハイパーリンク" xfId="4" builtinId="8"/>
    <cellStyle name="ハイパーリンク 2" xfId="1" xr:uid="{4B8390AE-0C34-4D99-A782-5D45BB1773C0}"/>
    <cellStyle name="標準" xfId="0" builtinId="0"/>
    <cellStyle name="標準 13" xfId="5" xr:uid="{7B424460-7AC5-4AC7-88B9-2FAA2302C662}"/>
    <cellStyle name="標準 2" xfId="7" xr:uid="{DB6A41A4-D3BB-4BA2-A3E2-80FCC4713601}"/>
    <cellStyle name="標準 2 2" xfId="6" xr:uid="{34D1A779-A360-46A4-9F6C-CFECA6090920}"/>
    <cellStyle name="標準 2 2 2" xfId="3" xr:uid="{D95D4BC6-4AD2-4A59-BE71-59720899F680}"/>
    <cellStyle name="標準 2 4" xfId="2" xr:uid="{F40E9600-BA13-4B0C-8601-E53C74317B26}"/>
    <cellStyle name="標準_uc_table" xfId="8" xr:uid="{82226C02-D8F4-46A0-B593-B51ACDA753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5</xdr:col>
      <xdr:colOff>28575</xdr:colOff>
      <xdr:row>14</xdr:row>
      <xdr:rowOff>95250</xdr:rowOff>
    </xdr:from>
    <xdr:to>
      <xdr:col>10</xdr:col>
      <xdr:colOff>180975</xdr:colOff>
      <xdr:row>14</xdr:row>
      <xdr:rowOff>1019175</xdr:rowOff>
    </xdr:to>
    <xdr:sp macro="" textlink="">
      <xdr:nvSpPr>
        <xdr:cNvPr id="2" name="テキスト ボックス 1">
          <a:extLst>
            <a:ext uri="{FF2B5EF4-FFF2-40B4-BE49-F238E27FC236}">
              <a16:creationId xmlns:a16="http://schemas.microsoft.com/office/drawing/2014/main" id="{58EAE937-AF59-BCDC-C180-62FEC72F3B58}"/>
            </a:ext>
          </a:extLst>
        </xdr:cNvPr>
        <xdr:cNvSpPr txBox="1"/>
      </xdr:nvSpPr>
      <xdr:spPr>
        <a:xfrm>
          <a:off x="5219700" y="3571875"/>
          <a:ext cx="2771775" cy="9239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背景黄色になっているフィールド</a:t>
          </a:r>
          <a:endParaRPr kumimoji="1" lang="en-US" altLang="ja-JP" sz="1100" b="1"/>
        </a:p>
        <a:p>
          <a:r>
            <a:rPr kumimoji="1" lang="en-US" altLang="ja-JP" sz="1100"/>
            <a:t>UTF-8</a:t>
          </a:r>
          <a:r>
            <a:rPr kumimoji="1" lang="ja-JP" altLang="en-US" sz="1100"/>
            <a:t>で日本語入れる想定のフィールドは</a:t>
          </a:r>
          <a:r>
            <a:rPr kumimoji="1" lang="en-US" altLang="ja-JP" sz="1100"/>
            <a:t>nvarchar</a:t>
          </a:r>
          <a:r>
            <a:rPr kumimoji="1" lang="ja-JP" altLang="en-US" sz="1100"/>
            <a:t>にした方がいいと思われる。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28575</xdr:rowOff>
    </xdr:from>
    <xdr:to>
      <xdr:col>15</xdr:col>
      <xdr:colOff>2743200</xdr:colOff>
      <xdr:row>102</xdr:row>
      <xdr:rowOff>76200</xdr:rowOff>
    </xdr:to>
    <xdr:sp macro="" textlink="">
      <xdr:nvSpPr>
        <xdr:cNvPr id="3" name="テキスト ボックス 2">
          <a:extLst>
            <a:ext uri="{FF2B5EF4-FFF2-40B4-BE49-F238E27FC236}">
              <a16:creationId xmlns:a16="http://schemas.microsoft.com/office/drawing/2014/main" id="{E69731C3-D744-46CB-8C49-D5EF1828DE3E}"/>
            </a:ext>
          </a:extLst>
        </xdr:cNvPr>
        <xdr:cNvSpPr txBox="1"/>
      </xdr:nvSpPr>
      <xdr:spPr>
        <a:xfrm>
          <a:off x="219075" y="2847975"/>
          <a:ext cx="16954500" cy="239839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コンテンツ管理との違いが以下になるので、基本的にはコンテンツ管理のシートを確認してください。</a:t>
          </a:r>
          <a:endParaRPr kumimoji="1" lang="en-US" altLang="ja-JP" sz="1100">
            <a:solidFill>
              <a:schemeClr val="bg1"/>
            </a:solidFill>
          </a:endParaRPr>
        </a:p>
        <a:p>
          <a:endParaRPr kumimoji="1" lang="en-US" altLang="ja-JP" sz="1100">
            <a:solidFill>
              <a:schemeClr val="bg1"/>
            </a:solidFill>
          </a:endParaRPr>
        </a:p>
        <a:p>
          <a:r>
            <a:rPr kumimoji="1" lang="ja-JP" altLang="en-US" sz="1100">
              <a:solidFill>
                <a:schemeClr val="bg1"/>
              </a:solidFill>
            </a:rPr>
            <a:t>・履歴</a:t>
          </a:r>
          <a:r>
            <a:rPr kumimoji="1" lang="en-US" altLang="ja-JP" sz="1100">
              <a:solidFill>
                <a:schemeClr val="bg1"/>
              </a:solidFill>
            </a:rPr>
            <a:t>ID</a:t>
          </a:r>
          <a:r>
            <a:rPr kumimoji="1" lang="ja-JP" altLang="en-US" sz="1100">
              <a:solidFill>
                <a:schemeClr val="bg1"/>
              </a:solidFill>
            </a:rPr>
            <a:t>が追加</a:t>
          </a:r>
          <a:endParaRPr kumimoji="1" lang="en-US" altLang="ja-JP" sz="1100">
            <a:solidFill>
              <a:schemeClr val="bg1"/>
            </a:solidFill>
          </a:endParaRPr>
        </a:p>
        <a:p>
          <a:r>
            <a:rPr kumimoji="1" lang="ja-JP" altLang="en-US" sz="1100">
              <a:solidFill>
                <a:schemeClr val="bg1"/>
              </a:solidFill>
            </a:rPr>
            <a:t>・</a:t>
          </a:r>
          <a:r>
            <a:rPr kumimoji="1" lang="en-US" altLang="ja-JP" sz="1100">
              <a:solidFill>
                <a:schemeClr val="bg1"/>
              </a:solidFill>
            </a:rPr>
            <a:t>PK</a:t>
          </a:r>
          <a:r>
            <a:rPr kumimoji="1" lang="ja-JP" altLang="en-US" sz="1100">
              <a:solidFill>
                <a:schemeClr val="bg1"/>
              </a:solidFill>
            </a:rPr>
            <a:t>は履歴</a:t>
          </a:r>
          <a:r>
            <a:rPr kumimoji="1" lang="en-US" altLang="ja-JP" sz="1100">
              <a:solidFill>
                <a:schemeClr val="bg1"/>
              </a:solidFill>
            </a:rPr>
            <a:t>ID</a:t>
          </a:r>
        </a:p>
        <a:p>
          <a:r>
            <a:rPr kumimoji="1" lang="ja-JP" altLang="en-US" sz="1100">
              <a:solidFill>
                <a:schemeClr val="bg1"/>
              </a:solidFill>
            </a:rPr>
            <a:t>・コンテンツ</a:t>
          </a:r>
          <a:r>
            <a:rPr kumimoji="1" lang="en-US" altLang="ja-JP" sz="1100">
              <a:solidFill>
                <a:schemeClr val="bg1"/>
              </a:solidFill>
            </a:rPr>
            <a:t>ID/</a:t>
          </a:r>
          <a:r>
            <a:rPr kumimoji="1" lang="ja-JP" altLang="en-US" sz="1100">
              <a:solidFill>
                <a:schemeClr val="bg1"/>
              </a:solidFill>
            </a:rPr>
            <a:t>コンテンツサブ</a:t>
          </a:r>
          <a:r>
            <a:rPr kumimoji="1" lang="en-US" altLang="ja-JP" sz="1100">
              <a:solidFill>
                <a:schemeClr val="bg1"/>
              </a:solidFill>
            </a:rPr>
            <a:t>ID</a:t>
          </a:r>
          <a:r>
            <a:rPr kumimoji="1" lang="ja-JP" altLang="en-US" sz="1100">
              <a:solidFill>
                <a:schemeClr val="bg1"/>
              </a:solidFill>
            </a:rPr>
            <a:t>はユニークキーではなくなる</a:t>
          </a:r>
          <a:endParaRPr kumimoji="1" lang="en-US" altLang="ja-JP" sz="1100">
            <a:solidFill>
              <a:schemeClr val="bg1"/>
            </a:solidFill>
          </a:endParaRPr>
        </a:p>
        <a:p>
          <a:r>
            <a:rPr kumimoji="1" lang="ja-JP" altLang="en-US" sz="1100">
              <a:solidFill>
                <a:schemeClr val="bg1"/>
              </a:solidFill>
            </a:rPr>
            <a:t>・その他はコンテンツ管理と同じ</a:t>
          </a:r>
          <a:endParaRPr kumimoji="1" lang="en-US" altLang="ja-JP" sz="1100">
            <a:solidFill>
              <a:schemeClr val="bg1"/>
            </a:solidFill>
          </a:endParaRPr>
        </a:p>
        <a:p>
          <a:endParaRPr kumimoji="1" lang="ja-JP" altLang="en-US" sz="11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38100</xdr:colOff>
      <xdr:row>23</xdr:row>
      <xdr:rowOff>66675</xdr:rowOff>
    </xdr:from>
    <xdr:to>
      <xdr:col>10</xdr:col>
      <xdr:colOff>190500</xdr:colOff>
      <xdr:row>28</xdr:row>
      <xdr:rowOff>19050</xdr:rowOff>
    </xdr:to>
    <xdr:sp macro="" textlink="">
      <xdr:nvSpPr>
        <xdr:cNvPr id="2" name="テキスト ボックス 1">
          <a:extLst>
            <a:ext uri="{FF2B5EF4-FFF2-40B4-BE49-F238E27FC236}">
              <a16:creationId xmlns:a16="http://schemas.microsoft.com/office/drawing/2014/main" id="{64825988-B613-4497-A366-477276D898B3}"/>
            </a:ext>
          </a:extLst>
        </xdr:cNvPr>
        <xdr:cNvSpPr txBox="1"/>
      </xdr:nvSpPr>
      <xdr:spPr>
        <a:xfrm>
          <a:off x="5229225" y="4981575"/>
          <a:ext cx="2771775" cy="10572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背景黄色になっているフィールド</a:t>
          </a:r>
          <a:endParaRPr kumimoji="1" lang="en-US" altLang="ja-JP" sz="1100" b="1"/>
        </a:p>
        <a:p>
          <a:r>
            <a:rPr kumimoji="1" lang="en-US" altLang="ja-JP" sz="1100"/>
            <a:t>UTF-8</a:t>
          </a:r>
          <a:r>
            <a:rPr kumimoji="1" lang="ja-JP" altLang="en-US" sz="1100"/>
            <a:t>で日本語入れる想定のフィールドは</a:t>
          </a:r>
          <a:r>
            <a:rPr kumimoji="1" lang="en-US" altLang="ja-JP" sz="1100"/>
            <a:t>nvarchar</a:t>
          </a:r>
          <a:r>
            <a:rPr kumimoji="1" lang="ja-JP" altLang="en-US" sz="1100"/>
            <a:t>にした方がいいと思われる。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66675</xdr:colOff>
      <xdr:row>12</xdr:row>
      <xdr:rowOff>19050</xdr:rowOff>
    </xdr:from>
    <xdr:to>
      <xdr:col>10</xdr:col>
      <xdr:colOff>219075</xdr:colOff>
      <xdr:row>14</xdr:row>
      <xdr:rowOff>266700</xdr:rowOff>
    </xdr:to>
    <xdr:sp macro="" textlink="">
      <xdr:nvSpPr>
        <xdr:cNvPr id="2" name="テキスト ボックス 1">
          <a:extLst>
            <a:ext uri="{FF2B5EF4-FFF2-40B4-BE49-F238E27FC236}">
              <a16:creationId xmlns:a16="http://schemas.microsoft.com/office/drawing/2014/main" id="{6FBAA918-821E-4653-B60C-C3B0B590599D}"/>
            </a:ext>
          </a:extLst>
        </xdr:cNvPr>
        <xdr:cNvSpPr txBox="1"/>
      </xdr:nvSpPr>
      <xdr:spPr>
        <a:xfrm>
          <a:off x="5257800" y="2114550"/>
          <a:ext cx="2771775" cy="10572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背景黄色になっているフィールド</a:t>
          </a:r>
          <a:endParaRPr kumimoji="1" lang="en-US" altLang="ja-JP" sz="1100" b="1"/>
        </a:p>
        <a:p>
          <a:r>
            <a:rPr kumimoji="1" lang="en-US" altLang="ja-JP" sz="1100"/>
            <a:t>UTF-8</a:t>
          </a:r>
          <a:r>
            <a:rPr kumimoji="1" lang="ja-JP" altLang="en-US" sz="1100"/>
            <a:t>で日本語入れる想定のフィールドは</a:t>
          </a:r>
          <a:r>
            <a:rPr kumimoji="1" lang="en-US" altLang="ja-JP" sz="1100"/>
            <a:t>nvarchar</a:t>
          </a:r>
          <a:r>
            <a:rPr kumimoji="1" lang="ja-JP" altLang="en-US" sz="1100"/>
            <a:t>にした方がいいと思われる。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xdr:colOff>
      <xdr:row>12</xdr:row>
      <xdr:rowOff>180975</xdr:rowOff>
    </xdr:from>
    <xdr:to>
      <xdr:col>10</xdr:col>
      <xdr:colOff>190500</xdr:colOff>
      <xdr:row>15</xdr:row>
      <xdr:rowOff>228600</xdr:rowOff>
    </xdr:to>
    <xdr:sp macro="" textlink="">
      <xdr:nvSpPr>
        <xdr:cNvPr id="2" name="テキスト ボックス 1">
          <a:extLst>
            <a:ext uri="{FF2B5EF4-FFF2-40B4-BE49-F238E27FC236}">
              <a16:creationId xmlns:a16="http://schemas.microsoft.com/office/drawing/2014/main" id="{37BC7FD4-E354-4642-9B8A-A3FCFE354E71}"/>
            </a:ext>
          </a:extLst>
        </xdr:cNvPr>
        <xdr:cNvSpPr txBox="1"/>
      </xdr:nvSpPr>
      <xdr:spPr>
        <a:xfrm>
          <a:off x="5229225" y="2276475"/>
          <a:ext cx="2771775" cy="10572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背景黄色になっているフィールド</a:t>
          </a:r>
          <a:endParaRPr kumimoji="1" lang="en-US" altLang="ja-JP" sz="1100" b="1"/>
        </a:p>
        <a:p>
          <a:r>
            <a:rPr kumimoji="1" lang="en-US" altLang="ja-JP" sz="1100"/>
            <a:t>UTF-8</a:t>
          </a:r>
          <a:r>
            <a:rPr kumimoji="1" lang="ja-JP" altLang="en-US" sz="1100"/>
            <a:t>で日本語入れる想定のフィールドは</a:t>
          </a:r>
          <a:r>
            <a:rPr kumimoji="1" lang="en-US" altLang="ja-JP" sz="1100"/>
            <a:t>nvarchar</a:t>
          </a:r>
          <a:r>
            <a:rPr kumimoji="1" lang="ja-JP" altLang="en-US" sz="1100"/>
            <a:t>にした方がいいと思われる。</a:t>
          </a:r>
        </a:p>
      </xdr:txBody>
    </xdr:sp>
    <xdr:clientData/>
  </xdr:twoCellAnchor>
  <xdr:twoCellAnchor>
    <xdr:from>
      <xdr:col>1</xdr:col>
      <xdr:colOff>0</xdr:colOff>
      <xdr:row>11</xdr:row>
      <xdr:rowOff>85725</xdr:rowOff>
    </xdr:from>
    <xdr:to>
      <xdr:col>15</xdr:col>
      <xdr:colOff>2667000</xdr:colOff>
      <xdr:row>123</xdr:row>
      <xdr:rowOff>76200</xdr:rowOff>
    </xdr:to>
    <xdr:sp macro="" textlink="">
      <xdr:nvSpPr>
        <xdr:cNvPr id="3" name="テキスト ボックス 2">
          <a:extLst>
            <a:ext uri="{FF2B5EF4-FFF2-40B4-BE49-F238E27FC236}">
              <a16:creationId xmlns:a16="http://schemas.microsoft.com/office/drawing/2014/main" id="{DAD8AA8D-DB18-4F3A-BBA6-CD092D1A1BCB}"/>
            </a:ext>
          </a:extLst>
        </xdr:cNvPr>
        <xdr:cNvSpPr txBox="1"/>
      </xdr:nvSpPr>
      <xdr:spPr>
        <a:xfrm>
          <a:off x="219075" y="2181225"/>
          <a:ext cx="16954500" cy="239839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アンケートマスタとの違いが以下になるので、基本的にはアンケートマスタのシートを確認してください。</a:t>
          </a:r>
          <a:endParaRPr kumimoji="1" lang="en-US" altLang="ja-JP" sz="1100">
            <a:solidFill>
              <a:schemeClr val="bg1"/>
            </a:solidFill>
          </a:endParaRPr>
        </a:p>
        <a:p>
          <a:endParaRPr kumimoji="1" lang="en-US" altLang="ja-JP" sz="1100">
            <a:solidFill>
              <a:schemeClr val="bg1"/>
            </a:solidFill>
          </a:endParaRPr>
        </a:p>
        <a:p>
          <a:r>
            <a:rPr kumimoji="1" lang="ja-JP" altLang="en-US" sz="1100">
              <a:solidFill>
                <a:schemeClr val="bg1"/>
              </a:solidFill>
            </a:rPr>
            <a:t>・履歴</a:t>
          </a:r>
          <a:r>
            <a:rPr kumimoji="1" lang="en-US" altLang="ja-JP" sz="1100">
              <a:solidFill>
                <a:schemeClr val="bg1"/>
              </a:solidFill>
            </a:rPr>
            <a:t>ID</a:t>
          </a:r>
          <a:r>
            <a:rPr kumimoji="1" lang="ja-JP" altLang="en-US" sz="1100">
              <a:solidFill>
                <a:schemeClr val="bg1"/>
              </a:solidFill>
            </a:rPr>
            <a:t>が追加</a:t>
          </a:r>
          <a:endParaRPr kumimoji="1" lang="en-US" altLang="ja-JP" sz="1100">
            <a:solidFill>
              <a:schemeClr val="bg1"/>
            </a:solidFill>
          </a:endParaRPr>
        </a:p>
        <a:p>
          <a:r>
            <a:rPr kumimoji="1" lang="ja-JP" altLang="en-US" sz="1100">
              <a:solidFill>
                <a:schemeClr val="bg1"/>
              </a:solidFill>
            </a:rPr>
            <a:t>・</a:t>
          </a:r>
          <a:r>
            <a:rPr kumimoji="1" lang="en-US" altLang="ja-JP" sz="1100">
              <a:solidFill>
                <a:schemeClr val="bg1"/>
              </a:solidFill>
            </a:rPr>
            <a:t>PK</a:t>
          </a:r>
          <a:r>
            <a:rPr kumimoji="1" lang="ja-JP" altLang="en-US" sz="1100">
              <a:solidFill>
                <a:schemeClr val="bg1"/>
              </a:solidFill>
            </a:rPr>
            <a:t>は履歴</a:t>
          </a:r>
          <a:r>
            <a:rPr kumimoji="1" lang="en-US" altLang="ja-JP" sz="1100">
              <a:solidFill>
                <a:schemeClr val="bg1"/>
              </a:solidFill>
            </a:rPr>
            <a:t>ID</a:t>
          </a:r>
        </a:p>
        <a:p>
          <a:r>
            <a:rPr kumimoji="1" lang="ja-JP" altLang="en-US" sz="1100">
              <a:solidFill>
                <a:schemeClr val="bg1"/>
              </a:solidFill>
            </a:rPr>
            <a:t>・アンケート</a:t>
          </a:r>
          <a:r>
            <a:rPr kumimoji="1" lang="en-US" altLang="ja-JP" sz="1100">
              <a:solidFill>
                <a:schemeClr val="bg1"/>
              </a:solidFill>
            </a:rPr>
            <a:t>ID</a:t>
          </a:r>
          <a:r>
            <a:rPr kumimoji="1" lang="ja-JP" altLang="en-US" sz="1100">
              <a:solidFill>
                <a:schemeClr val="bg1"/>
              </a:solidFill>
            </a:rPr>
            <a:t>はユニークキーではなくなる</a:t>
          </a:r>
          <a:endParaRPr kumimoji="1" lang="en-US" altLang="ja-JP" sz="1100">
            <a:solidFill>
              <a:schemeClr val="bg1"/>
            </a:solidFill>
          </a:endParaRPr>
        </a:p>
        <a:p>
          <a:r>
            <a:rPr kumimoji="1" lang="ja-JP" altLang="en-US" sz="1100">
              <a:solidFill>
                <a:schemeClr val="bg1"/>
              </a:solidFill>
            </a:rPr>
            <a:t>・その他はアンケートマスタと同じ</a:t>
          </a:r>
          <a:endParaRPr kumimoji="1" lang="en-US" altLang="ja-JP" sz="1100">
            <a:solidFill>
              <a:schemeClr val="bg1"/>
            </a:solidFill>
          </a:endParaRPr>
        </a:p>
        <a:p>
          <a:endParaRPr kumimoji="1" lang="ja-JP" altLang="en-US" sz="1100">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190500</xdr:colOff>
      <xdr:row>12</xdr:row>
      <xdr:rowOff>38100</xdr:rowOff>
    </xdr:from>
    <xdr:to>
      <xdr:col>15</xdr:col>
      <xdr:colOff>2714625</xdr:colOff>
      <xdr:row>132</xdr:row>
      <xdr:rowOff>19050</xdr:rowOff>
    </xdr:to>
    <xdr:sp macro="" textlink="">
      <xdr:nvSpPr>
        <xdr:cNvPr id="2" name="テキスト ボックス 1">
          <a:extLst>
            <a:ext uri="{FF2B5EF4-FFF2-40B4-BE49-F238E27FC236}">
              <a16:creationId xmlns:a16="http://schemas.microsoft.com/office/drawing/2014/main" id="{D551B72B-19CA-4B88-B495-9F95BB815EDE}"/>
            </a:ext>
          </a:extLst>
        </xdr:cNvPr>
        <xdr:cNvSpPr txBox="1"/>
      </xdr:nvSpPr>
      <xdr:spPr>
        <a:xfrm>
          <a:off x="190500" y="2438400"/>
          <a:ext cx="16954500" cy="239839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オペレータ管理との違いが以下になるので、基本的にはオペレータ管理のシートを確認してください。</a:t>
          </a:r>
          <a:endParaRPr kumimoji="1" lang="en-US" altLang="ja-JP" sz="1100">
            <a:solidFill>
              <a:schemeClr val="bg1"/>
            </a:solidFill>
          </a:endParaRPr>
        </a:p>
        <a:p>
          <a:endParaRPr kumimoji="1" lang="en-US" altLang="ja-JP" sz="1100">
            <a:solidFill>
              <a:schemeClr val="bg1"/>
            </a:solidFill>
          </a:endParaRPr>
        </a:p>
        <a:p>
          <a:r>
            <a:rPr kumimoji="1" lang="ja-JP" altLang="en-US" sz="1100">
              <a:solidFill>
                <a:schemeClr val="bg1"/>
              </a:solidFill>
            </a:rPr>
            <a:t>・履歴</a:t>
          </a:r>
          <a:r>
            <a:rPr kumimoji="1" lang="en-US" altLang="ja-JP" sz="1100">
              <a:solidFill>
                <a:schemeClr val="bg1"/>
              </a:solidFill>
            </a:rPr>
            <a:t>ID</a:t>
          </a:r>
          <a:r>
            <a:rPr kumimoji="1" lang="ja-JP" altLang="en-US" sz="1100">
              <a:solidFill>
                <a:schemeClr val="bg1"/>
              </a:solidFill>
            </a:rPr>
            <a:t>が追加</a:t>
          </a:r>
          <a:endParaRPr kumimoji="1" lang="en-US" altLang="ja-JP" sz="1100">
            <a:solidFill>
              <a:schemeClr val="bg1"/>
            </a:solidFill>
          </a:endParaRPr>
        </a:p>
        <a:p>
          <a:r>
            <a:rPr kumimoji="1" lang="ja-JP" altLang="en-US" sz="1100">
              <a:solidFill>
                <a:schemeClr val="bg1"/>
              </a:solidFill>
            </a:rPr>
            <a:t>・</a:t>
          </a:r>
          <a:r>
            <a:rPr kumimoji="1" lang="en-US" altLang="ja-JP" sz="1100">
              <a:solidFill>
                <a:schemeClr val="bg1"/>
              </a:solidFill>
            </a:rPr>
            <a:t>PK</a:t>
          </a:r>
          <a:r>
            <a:rPr kumimoji="1" lang="ja-JP" altLang="en-US" sz="1100">
              <a:solidFill>
                <a:schemeClr val="bg1"/>
              </a:solidFill>
            </a:rPr>
            <a:t>は履歴</a:t>
          </a:r>
          <a:r>
            <a:rPr kumimoji="1" lang="en-US" altLang="ja-JP" sz="1100">
              <a:solidFill>
                <a:schemeClr val="bg1"/>
              </a:solidFill>
            </a:rPr>
            <a:t>ID</a:t>
          </a:r>
        </a:p>
        <a:p>
          <a:r>
            <a:rPr kumimoji="1" lang="ja-JP" altLang="en-US" sz="1100">
              <a:solidFill>
                <a:schemeClr val="bg1"/>
              </a:solidFill>
            </a:rPr>
            <a:t>・内部ユニーク</a:t>
          </a:r>
          <a:r>
            <a:rPr kumimoji="1" lang="en-US" altLang="ja-JP" sz="1100">
              <a:solidFill>
                <a:schemeClr val="bg1"/>
              </a:solidFill>
            </a:rPr>
            <a:t>ID</a:t>
          </a:r>
          <a:r>
            <a:rPr kumimoji="1" lang="ja-JP" altLang="en-US" sz="1100">
              <a:solidFill>
                <a:schemeClr val="bg1"/>
              </a:solidFill>
            </a:rPr>
            <a:t>はこのテーブル内ではユニークではない</a:t>
          </a:r>
          <a:endParaRPr kumimoji="1" lang="en-US" altLang="ja-JP" sz="1100">
            <a:solidFill>
              <a:schemeClr val="bg1"/>
            </a:solidFill>
          </a:endParaRPr>
        </a:p>
        <a:p>
          <a:r>
            <a:rPr kumimoji="1" lang="ja-JP" altLang="en-US" sz="1100">
              <a:solidFill>
                <a:schemeClr val="bg1"/>
              </a:solidFill>
            </a:rPr>
            <a:t>・その他はオペレータ管理と同じ</a:t>
          </a:r>
          <a:endParaRPr kumimoji="1" lang="en-US" altLang="ja-JP" sz="1100">
            <a:solidFill>
              <a:schemeClr val="bg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lackbird\AIFUL\&#20849;&#26377;&#12501;&#12457;&#12523;&#12480;BackUp%20-%2020040203\WebRenewal_Project\00&#35201;&#20214;&#23450;&#32681;\AIF&#25552;&#31034;&#36039;&#26009;\&#35201;&#20214;&#23450;&#32681;&#65288;&#12450;&#12452;&#12501;&#12523;&#27583;&#12424;&#12426;&#65289;\2003.12.22&#21463;&#12369;&#21462;&#12426;\temp\&#65407;&#65392;&#65405;&#31649;~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fmapuc-sv1\unitedcrew\TuruKameData\&#12518;&#12490;&#12452;&#12486;&#12483;&#12489;&#12463;&#12523;&#12540;&#21029;&#25152;&#36020;&#33521;\&#21463;&#20449;&#28155;&#20184;\080513_69\Documents%20and%20Settings\Administrator\My%20Documents\uc\doc\2_&#26696;&#20214;&#36039;&#26009;\Chest\FromBay\CHEST&#12486;&#12540;&#12502;&#12523;&#23450;&#3268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nitedserver0\share\&#35299;&#20941;\uc_table\uc_tab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sao01\c$\&#35299;&#20941;\uc_table\uc_tab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ofmapuc-sv1\unitedcrew\TuruKameData\&#12518;&#12490;&#12452;&#12486;&#12483;&#12489;&#12463;&#12523;&#12540;&#21029;&#25152;&#36020;&#33521;\&#21463;&#20449;&#28155;&#20184;\080519_14\Documents%20and%20Settings\Administrator\My%20Documents\uc\doc\2_&#26696;&#20214;&#36039;&#26009;\Chest\FromBay\CHEST&#12486;&#12540;&#12502;&#12523;&#23450;&#3268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s1\Project\GateWay\10.&#35373;&#35336;\03.&#65316;&#65314;&#35373;&#35336;\GATEWAY&#38917;&#30446;&#19968;&#35239;&#34920;_09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ﾓｼﾞｭｰﾙ一覧"/>
      <sheetName val="ﾊﾞｲﾔ企業（bc_buyer）"/>
      <sheetName val="引数"/>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更新履歴"/>
      <sheetName val="インデックス一覧"/>
      <sheetName val="ＳＣＩＤ管理"/>
      <sheetName val="ファイル管理マスタ"/>
      <sheetName val="発注計画テーブル"/>
      <sheetName val="発注明細"/>
      <sheetName val="法人管理テーブル "/>
      <sheetName val="受注マスタ"/>
      <sheetName val="受注マスタ（明細）"/>
      <sheetName val="商品マスタ"/>
      <sheetName val="在庫マスタ"/>
      <sheetName val="メーカーマスタ"/>
      <sheetName val="スケジュール管理テーブル"/>
      <sheetName val="商品グループ属性マスタ"/>
      <sheetName val="分類マスタ"/>
      <sheetName val="コンテンツ管理マスタ"/>
      <sheetName val="（事前登録）コンテンツ管理"/>
      <sheetName val="コンテンツテンプレートマスタ"/>
      <sheetName val="店舗管理テーブル"/>
      <sheetName val="店舗グループ化マスタ"/>
      <sheetName val="オペレータ管理"/>
      <sheetName val="キャッシュ"/>
      <sheetName val="採番マスタ"/>
      <sheetName val="バッチ管理マスタ"/>
      <sheetName val="検索履歴テーブル"/>
      <sheetName val="オペレーションログテーブル"/>
      <sheetName val="ワークフローマスタ"/>
      <sheetName val="ワークフローテーブル"/>
      <sheetName val="メールアカウントマスタ"/>
      <sheetName val="メール文書テーブル"/>
      <sheetName val="郵便番号マスタ"/>
      <sheetName val="価格コントロールテーブル"/>
      <sheetName val="与信管理テーブル"/>
      <sheetName val="セールス管理テーブル"/>
      <sheetName val="商品検索用テーブル"/>
      <sheetName val="買い物かご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8">
          <cell r="C8" t="str">
            <v>フィールド名（英語）</v>
          </cell>
          <cell r="D8" t="str">
            <v>Ｔｙｐｅ</v>
          </cell>
          <cell r="E8" t="str">
            <v>カラム数</v>
          </cell>
          <cell r="F8" t="str">
            <v>Ｎｕｌｌ</v>
          </cell>
          <cell r="G8" t="str">
            <v>Ｄｅｆａｕｌｔ</v>
          </cell>
          <cell r="H8" t="str">
            <v>№</v>
          </cell>
          <cell r="I8" t="str">
            <v>ＰＫ</v>
          </cell>
          <cell r="J8" t="str">
            <v>UK</v>
          </cell>
          <cell r="K8" t="str">
            <v>ＦＫ</v>
          </cell>
          <cell r="L8" t="str">
            <v>Cmd</v>
          </cell>
          <cell r="M8" t="str">
            <v>使用</v>
          </cell>
          <cell r="N8" t="str">
            <v>フルテキスト</v>
          </cell>
          <cell r="O8" t="str">
            <v>検索バー</v>
          </cell>
          <cell r="P8" t="str">
            <v>詳細検索</v>
          </cell>
          <cell r="Q8" t="str">
            <v>ソース</v>
          </cell>
          <cell r="R8" t="str">
            <v>使用方法</v>
          </cell>
          <cell r="S8" t="str">
            <v>インデックス</v>
          </cell>
          <cell r="T8" t="str">
            <v>備考(FW)</v>
          </cell>
        </row>
        <row r="9">
          <cell r="C9" t="str">
            <v>dept_id</v>
          </cell>
          <cell r="D9" t="str">
            <v>varchar</v>
          </cell>
          <cell r="E9">
            <v>8</v>
          </cell>
          <cell r="L9" t="str">
            <v>NL(8)Eq</v>
          </cell>
          <cell r="M9" t="str">
            <v>○</v>
          </cell>
          <cell r="Q9" t="str">
            <v>商品</v>
          </cell>
        </row>
        <row r="10">
          <cell r="C10" t="str">
            <v>pfid</v>
          </cell>
          <cell r="D10" t="str">
            <v>varchar</v>
          </cell>
          <cell r="E10">
            <v>40</v>
          </cell>
          <cell r="K10" t="str">
            <v>IX_product_search_pfid</v>
          </cell>
          <cell r="L10" t="str">
            <v>L(40)Eq</v>
          </cell>
          <cell r="M10" t="str">
            <v>○</v>
          </cell>
          <cell r="N10" t="str">
            <v>English</v>
          </cell>
          <cell r="Q10" t="str">
            <v>商品</v>
          </cell>
        </row>
        <row r="11">
          <cell r="C11" t="str">
            <v>sku</v>
          </cell>
          <cell r="D11" t="str">
            <v>varchar</v>
          </cell>
          <cell r="E11">
            <v>40</v>
          </cell>
          <cell r="I11" t="str">
            <v>○</v>
          </cell>
          <cell r="L11" t="str">
            <v>NL(40)Eq</v>
          </cell>
          <cell r="M11" t="str">
            <v>○</v>
          </cell>
          <cell r="Q11" t="str">
            <v>商品</v>
          </cell>
        </row>
        <row r="12">
          <cell r="C12" t="str">
            <v>stock_id</v>
          </cell>
          <cell r="D12" t="str">
            <v>varchar</v>
          </cell>
          <cell r="E12">
            <v>40</v>
          </cell>
          <cell r="L12" t="str">
            <v>L(40)Eq</v>
          </cell>
          <cell r="M12" t="str">
            <v>○</v>
          </cell>
          <cell r="Q12" t="str">
            <v>在庫</v>
          </cell>
        </row>
        <row r="13">
          <cell r="C13" t="str">
            <v>warehouse_id</v>
          </cell>
          <cell r="D13" t="str">
            <v>varchar</v>
          </cell>
          <cell r="E13">
            <v>40</v>
          </cell>
          <cell r="L13" t="str">
            <v>L(40)Eq</v>
          </cell>
          <cell r="M13" t="str">
            <v>○</v>
          </cell>
          <cell r="Q13" t="str">
            <v>在庫</v>
          </cell>
        </row>
        <row r="14">
          <cell r="C14" t="str">
            <v>product_name_1</v>
          </cell>
          <cell r="D14" t="str">
            <v>nvarchar</v>
          </cell>
          <cell r="E14">
            <v>100</v>
          </cell>
          <cell r="L14" t="str">
            <v>L(100)Eq</v>
          </cell>
          <cell r="M14" t="str">
            <v>○</v>
          </cell>
          <cell r="N14" t="str">
            <v>Japanese</v>
          </cell>
          <cell r="Q14" t="str">
            <v>商品</v>
          </cell>
        </row>
        <row r="15">
          <cell r="C15" t="str">
            <v>product_name_2</v>
          </cell>
          <cell r="D15" t="str">
            <v>nvarchar</v>
          </cell>
          <cell r="E15">
            <v>100</v>
          </cell>
          <cell r="L15" t="str">
            <v>L(100)Eq</v>
          </cell>
          <cell r="M15" t="str">
            <v>○</v>
          </cell>
          <cell r="Q15" t="str">
            <v>商品</v>
          </cell>
        </row>
        <row r="16">
          <cell r="C16" t="str">
            <v>product_name_3</v>
          </cell>
          <cell r="D16" t="str">
            <v>nvarchar</v>
          </cell>
          <cell r="E16">
            <v>100</v>
          </cell>
          <cell r="L16" t="str">
            <v>L(100)Eq</v>
          </cell>
          <cell r="M16" t="str">
            <v>○</v>
          </cell>
          <cell r="Q16" t="str">
            <v>商品</v>
          </cell>
        </row>
        <row r="17">
          <cell r="C17" t="str">
            <v>product_name_4</v>
          </cell>
          <cell r="D17" t="str">
            <v>nvarchar</v>
          </cell>
          <cell r="E17">
            <v>100</v>
          </cell>
          <cell r="L17" t="str">
            <v>L(100)Eq</v>
          </cell>
          <cell r="M17" t="str">
            <v>○</v>
          </cell>
          <cell r="Q17" t="str">
            <v>商品</v>
          </cell>
        </row>
        <row r="18">
          <cell r="C18" t="str">
            <v>product_name_5</v>
          </cell>
          <cell r="D18" t="str">
            <v>nvarchar</v>
          </cell>
          <cell r="E18">
            <v>100</v>
          </cell>
          <cell r="L18" t="str">
            <v>L(100)Eq</v>
          </cell>
          <cell r="M18" t="str">
            <v>○</v>
          </cell>
          <cell r="Q18" t="str">
            <v>商品</v>
          </cell>
        </row>
        <row r="19">
          <cell r="C19" t="str">
            <v>product_name_6</v>
          </cell>
          <cell r="D19" t="str">
            <v>nvarchar</v>
          </cell>
          <cell r="E19">
            <v>100</v>
          </cell>
          <cell r="L19" t="str">
            <v>L(100)Eq</v>
          </cell>
          <cell r="M19" t="str">
            <v>○</v>
          </cell>
          <cell r="N19" t="str">
            <v>Japanese</v>
          </cell>
          <cell r="Q19" t="str">
            <v>商品</v>
          </cell>
        </row>
        <row r="20">
          <cell r="C20" t="str">
            <v>product_name_7</v>
          </cell>
          <cell r="D20" t="str">
            <v>nvarchar</v>
          </cell>
          <cell r="E20">
            <v>100</v>
          </cell>
          <cell r="L20" t="str">
            <v>L(100)Eq</v>
          </cell>
          <cell r="M20" t="str">
            <v>-</v>
          </cell>
          <cell r="Q20" t="str">
            <v>商品</v>
          </cell>
        </row>
        <row r="21">
          <cell r="C21" t="str">
            <v>product_name_8</v>
          </cell>
          <cell r="D21" t="str">
            <v>nvarchar</v>
          </cell>
          <cell r="E21">
            <v>100</v>
          </cell>
          <cell r="L21" t="str">
            <v>L(100)Eq</v>
          </cell>
          <cell r="M21" t="str">
            <v>-</v>
          </cell>
          <cell r="Q21" t="str">
            <v>商品</v>
          </cell>
        </row>
        <row r="22">
          <cell r="C22" t="str">
            <v>product_name_9</v>
          </cell>
          <cell r="D22" t="str">
            <v>nvarchar</v>
          </cell>
          <cell r="E22">
            <v>100</v>
          </cell>
          <cell r="L22" t="str">
            <v>L(100)Eq</v>
          </cell>
          <cell r="M22" t="str">
            <v>-</v>
          </cell>
          <cell r="Q22" t="str">
            <v>商品</v>
          </cell>
        </row>
        <row r="23">
          <cell r="C23" t="str">
            <v>product_name_10</v>
          </cell>
          <cell r="D23" t="str">
            <v>nvarchar</v>
          </cell>
          <cell r="E23">
            <v>100</v>
          </cell>
          <cell r="L23" t="str">
            <v>L(100)Eq</v>
          </cell>
          <cell r="M23" t="str">
            <v>-</v>
          </cell>
          <cell r="Q23" t="str">
            <v>商品</v>
          </cell>
        </row>
        <row r="24">
          <cell r="C24" t="str">
            <v>product_maker_code</v>
          </cell>
          <cell r="D24" t="str">
            <v>nvarchar</v>
          </cell>
          <cell r="E24">
            <v>50</v>
          </cell>
          <cell r="L24" t="str">
            <v>L(50)Eq</v>
          </cell>
          <cell r="M24" t="str">
            <v>-</v>
          </cell>
          <cell r="Q24" t="str">
            <v>商品</v>
          </cell>
        </row>
        <row r="25">
          <cell r="C25" t="str">
            <v>product_maker</v>
          </cell>
          <cell r="D25" t="str">
            <v>nvarchar</v>
          </cell>
          <cell r="E25">
            <v>200</v>
          </cell>
          <cell r="L25" t="str">
            <v>L(200)Eq</v>
          </cell>
          <cell r="M25" t="str">
            <v>-</v>
          </cell>
          <cell r="N25" t="str">
            <v>-</v>
          </cell>
          <cell r="Q25" t="str">
            <v>商品</v>
          </cell>
        </row>
        <row r="26">
          <cell r="C26" t="str">
            <v>trade_type</v>
          </cell>
          <cell r="D26" t="str">
            <v>varchar</v>
          </cell>
          <cell r="E26">
            <v>50</v>
          </cell>
          <cell r="L26" t="str">
            <v>L(50)Eq</v>
          </cell>
          <cell r="M26" t="str">
            <v>-</v>
          </cell>
        </row>
        <row r="27">
          <cell r="C27" t="str">
            <v>industry_code</v>
          </cell>
          <cell r="D27" t="str">
            <v>varchar</v>
          </cell>
          <cell r="E27">
            <v>50</v>
          </cell>
          <cell r="L27" t="str">
            <v>L(50)Eq</v>
          </cell>
          <cell r="M27" t="str">
            <v>-</v>
          </cell>
        </row>
        <row r="28">
          <cell r="C28" t="str">
            <v>product_brand</v>
          </cell>
          <cell r="D28" t="str">
            <v>nvarchar</v>
          </cell>
          <cell r="E28">
            <v>200</v>
          </cell>
          <cell r="L28" t="str">
            <v>L(200)Eq</v>
          </cell>
          <cell r="M28" t="str">
            <v>-</v>
          </cell>
          <cell r="N28" t="str">
            <v>-</v>
          </cell>
          <cell r="Q28" t="str">
            <v>商品</v>
          </cell>
        </row>
        <row r="29">
          <cell r="C29" t="str">
            <v>product_exp_1</v>
          </cell>
          <cell r="D29" t="str">
            <v>text</v>
          </cell>
          <cell r="L29" t="str">
            <v>Eq</v>
          </cell>
          <cell r="M29" t="str">
            <v>-</v>
          </cell>
          <cell r="N29" t="str">
            <v>-</v>
          </cell>
          <cell r="Q29" t="str">
            <v>商品</v>
          </cell>
        </row>
        <row r="30">
          <cell r="C30" t="str">
            <v>product_exp_2</v>
          </cell>
          <cell r="D30" t="str">
            <v>text</v>
          </cell>
          <cell r="L30" t="str">
            <v>Eq</v>
          </cell>
          <cell r="M30" t="str">
            <v>-</v>
          </cell>
          <cell r="N30" t="str">
            <v>-</v>
          </cell>
          <cell r="Q30" t="str">
            <v>商品</v>
          </cell>
        </row>
        <row r="31">
          <cell r="C31" t="str">
            <v>product_exp_3</v>
          </cell>
          <cell r="D31" t="str">
            <v>text</v>
          </cell>
          <cell r="L31" t="str">
            <v>Eq</v>
          </cell>
          <cell r="M31" t="str">
            <v>-</v>
          </cell>
          <cell r="Q31" t="str">
            <v>商品</v>
          </cell>
        </row>
        <row r="32">
          <cell r="C32" t="str">
            <v>product_exp_4</v>
          </cell>
          <cell r="D32" t="str">
            <v>text</v>
          </cell>
          <cell r="L32" t="str">
            <v>Eq</v>
          </cell>
          <cell r="M32" t="str">
            <v>-</v>
          </cell>
          <cell r="Q32" t="str">
            <v>商品</v>
          </cell>
        </row>
        <row r="33">
          <cell r="C33" t="str">
            <v>product_exp_5</v>
          </cell>
          <cell r="D33" t="str">
            <v>text</v>
          </cell>
          <cell r="L33" t="str">
            <v>Eq</v>
          </cell>
          <cell r="M33" t="str">
            <v>-</v>
          </cell>
          <cell r="Q33" t="str">
            <v>商品</v>
          </cell>
        </row>
        <row r="34">
          <cell r="C34" t="str">
            <v>product_exp_6</v>
          </cell>
          <cell r="D34" t="str">
            <v>text</v>
          </cell>
          <cell r="L34" t="str">
            <v>Eq</v>
          </cell>
          <cell r="M34" t="str">
            <v>-</v>
          </cell>
          <cell r="Q34" t="str">
            <v>商品</v>
          </cell>
        </row>
        <row r="35">
          <cell r="C35" t="str">
            <v>product_exp_7</v>
          </cell>
          <cell r="D35" t="str">
            <v>text</v>
          </cell>
          <cell r="L35" t="str">
            <v>Eq</v>
          </cell>
          <cell r="M35" t="str">
            <v>-</v>
          </cell>
          <cell r="Q35" t="str">
            <v>商品</v>
          </cell>
        </row>
        <row r="36">
          <cell r="C36" t="str">
            <v>product_exp_8</v>
          </cell>
          <cell r="D36" t="str">
            <v>text</v>
          </cell>
          <cell r="L36" t="str">
            <v>Eq</v>
          </cell>
          <cell r="M36" t="str">
            <v>-</v>
          </cell>
          <cell r="Q36" t="str">
            <v>商品</v>
          </cell>
        </row>
        <row r="37">
          <cell r="C37" t="str">
            <v>product_exp_9</v>
          </cell>
          <cell r="D37" t="str">
            <v>text</v>
          </cell>
          <cell r="L37" t="str">
            <v>Eq</v>
          </cell>
          <cell r="M37" t="str">
            <v>-</v>
          </cell>
          <cell r="Q37" t="str">
            <v>商品</v>
          </cell>
        </row>
        <row r="38">
          <cell r="C38" t="str">
            <v>product_exp_10</v>
          </cell>
          <cell r="D38" t="str">
            <v>text</v>
          </cell>
          <cell r="L38" t="str">
            <v>Eq</v>
          </cell>
          <cell r="M38" t="str">
            <v>-</v>
          </cell>
          <cell r="Q38" t="str">
            <v>商品</v>
          </cell>
        </row>
        <row r="39">
          <cell r="C39" t="str">
            <v>spec_info</v>
          </cell>
          <cell r="D39" t="str">
            <v>text</v>
          </cell>
          <cell r="L39" t="str">
            <v>L(1000)Eq</v>
          </cell>
          <cell r="M39" t="str">
            <v>-</v>
          </cell>
          <cell r="Q39" t="str">
            <v>商品</v>
          </cell>
          <cell r="R39" t="str">
            <v>値のInnerTextのみセット</v>
          </cell>
        </row>
        <row r="40">
          <cell r="C40" t="str">
            <v>search_keywords</v>
          </cell>
          <cell r="D40" t="str">
            <v>text</v>
          </cell>
          <cell r="L40" t="str">
            <v>L(500)Eq</v>
          </cell>
          <cell r="M40" t="str">
            <v>○</v>
          </cell>
          <cell r="N40" t="str">
            <v>Japanese</v>
          </cell>
          <cell r="Q40" t="str">
            <v>商品</v>
          </cell>
        </row>
        <row r="41">
          <cell r="C41" t="str">
            <v>sale_price</v>
          </cell>
          <cell r="D41" t="str">
            <v>int</v>
          </cell>
          <cell r="E41">
            <v>4</v>
          </cell>
          <cell r="L41" t="str">
            <v>0Eq</v>
          </cell>
          <cell r="M41" t="str">
            <v>-</v>
          </cell>
          <cell r="Q41" t="str">
            <v>商品</v>
          </cell>
          <cell r="S41" t="str">
            <v>IX_sale_price</v>
          </cell>
        </row>
        <row r="42">
          <cell r="C42" t="str">
            <v>sale_price_disp</v>
          </cell>
          <cell r="D42" t="str">
            <v>nvarchar</v>
          </cell>
          <cell r="E42">
            <v>80</v>
          </cell>
          <cell r="L42" t="str">
            <v>L(80)Eq</v>
          </cell>
          <cell r="M42" t="str">
            <v>○</v>
          </cell>
        </row>
        <row r="43">
          <cell r="C43" t="str">
            <v>tax_include</v>
          </cell>
          <cell r="D43" t="str">
            <v>varchar</v>
          </cell>
          <cell r="E43">
            <v>40</v>
          </cell>
          <cell r="L43" t="str">
            <v>L(40)Eq</v>
          </cell>
          <cell r="M43" t="str">
            <v>○</v>
          </cell>
          <cell r="Q43" t="str">
            <v>商品</v>
          </cell>
        </row>
        <row r="44">
          <cell r="C44" t="str">
            <v>set_flg</v>
          </cell>
          <cell r="D44" t="str">
            <v>varchar</v>
          </cell>
          <cell r="E44">
            <v>40</v>
          </cell>
          <cell r="L44" t="str">
            <v>L(40)S[SET,WAGON]Eq</v>
          </cell>
          <cell r="M44" t="str">
            <v>○</v>
          </cell>
          <cell r="Q44" t="str">
            <v>商品</v>
          </cell>
          <cell r="T44" t="str">
            <v/>
          </cell>
        </row>
        <row r="45">
          <cell r="C45" t="str">
            <v>point_define_id</v>
          </cell>
          <cell r="D45" t="str">
            <v>varchar</v>
          </cell>
          <cell r="E45">
            <v>40</v>
          </cell>
          <cell r="L45" t="str">
            <v>L(40)Eq</v>
          </cell>
          <cell r="M45" t="str">
            <v>-</v>
          </cell>
          <cell r="Q45" t="str">
            <v>商品</v>
          </cell>
          <cell r="S45" t="str">
            <v>&lt;point_define_id name="ポイント付与ルール" /&gt;</v>
          </cell>
        </row>
        <row r="46">
          <cell r="C46" t="str">
            <v>point_rule</v>
          </cell>
          <cell r="D46" t="str">
            <v>varchar</v>
          </cell>
          <cell r="E46">
            <v>40</v>
          </cell>
          <cell r="L46" t="str">
            <v>L(40)Eq</v>
          </cell>
          <cell r="M46" t="str">
            <v>-</v>
          </cell>
          <cell r="Q46" t="str">
            <v>商品</v>
          </cell>
          <cell r="S46" t="str">
            <v>&lt;point_rule name="ポイント付与タイミング" /&gt;</v>
          </cell>
        </row>
        <row r="47">
          <cell r="C47" t="str">
            <v>site_point</v>
          </cell>
          <cell r="D47" t="str">
            <v>int</v>
          </cell>
          <cell r="E47">
            <v>4</v>
          </cell>
          <cell r="G47">
            <v>0</v>
          </cell>
          <cell r="L47" t="str">
            <v>0Eq</v>
          </cell>
          <cell r="M47" t="str">
            <v>-</v>
          </cell>
        </row>
        <row r="48">
          <cell r="C48" t="str">
            <v>site_point_rate</v>
          </cell>
          <cell r="D48" t="str">
            <v>int</v>
          </cell>
          <cell r="E48">
            <v>4</v>
          </cell>
          <cell r="G48">
            <v>0</v>
          </cell>
          <cell r="L48" t="str">
            <v>0Eq</v>
          </cell>
          <cell r="M48" t="str">
            <v>-</v>
          </cell>
        </row>
        <row r="49">
          <cell r="C49" t="str">
            <v>dept_point</v>
          </cell>
          <cell r="D49" t="str">
            <v>int</v>
          </cell>
          <cell r="E49">
            <v>4</v>
          </cell>
          <cell r="G49">
            <v>0</v>
          </cell>
          <cell r="L49" t="str">
            <v>0Eq</v>
          </cell>
          <cell r="M49" t="str">
            <v>-</v>
          </cell>
          <cell r="Q49" t="str">
            <v>商品</v>
          </cell>
        </row>
        <row r="50">
          <cell r="C50" t="str">
            <v>dept_point_rate</v>
          </cell>
          <cell r="D50" t="str">
            <v>int</v>
          </cell>
          <cell r="E50">
            <v>4</v>
          </cell>
          <cell r="G50">
            <v>0</v>
          </cell>
          <cell r="L50" t="str">
            <v>0Eq</v>
          </cell>
          <cell r="M50" t="str">
            <v>-</v>
          </cell>
          <cell r="Q50" t="str">
            <v>商品</v>
          </cell>
        </row>
        <row r="51">
          <cell r="C51" t="str">
            <v>stock_disp_type_id</v>
          </cell>
          <cell r="D51" t="str">
            <v>nvarchar</v>
          </cell>
          <cell r="E51">
            <v>16</v>
          </cell>
          <cell r="L51" t="str">
            <v>L(32)Eq</v>
          </cell>
          <cell r="M51" t="str">
            <v>△</v>
          </cell>
          <cell r="Q51" t="str">
            <v>商品</v>
          </cell>
          <cell r="T51" t="str">
            <v>例１）○×△　例２）50　在庫表示DLLで制御</v>
          </cell>
        </row>
        <row r="52">
          <cell r="C52" t="str">
            <v>stock_disp</v>
          </cell>
          <cell r="D52" t="str">
            <v>nvarchar</v>
          </cell>
          <cell r="E52">
            <v>255</v>
          </cell>
          <cell r="L52" t="str">
            <v>L(255)Eq</v>
          </cell>
          <cell r="M52" t="str">
            <v>△</v>
          </cell>
          <cell r="Q52" t="str">
            <v>商品</v>
          </cell>
          <cell r="T52" t="str">
            <v>例１）○×△　例２）50　在庫表示DLLで制御</v>
          </cell>
        </row>
        <row r="53">
          <cell r="C53" t="str">
            <v>stock_disp_id</v>
          </cell>
          <cell r="D53" t="str">
            <v>varchar</v>
          </cell>
          <cell r="E53">
            <v>40</v>
          </cell>
          <cell r="L53" t="str">
            <v>L(40)Eq</v>
          </cell>
          <cell r="M53" t="str">
            <v>△</v>
          </cell>
          <cell r="Q53" t="str">
            <v>商品</v>
          </cell>
        </row>
        <row r="54">
          <cell r="C54" t="str">
            <v>delivery_type</v>
          </cell>
          <cell r="D54" t="str">
            <v>varchar</v>
          </cell>
          <cell r="E54">
            <v>16</v>
          </cell>
          <cell r="M54" t="str">
            <v>-</v>
          </cell>
          <cell r="Q54" t="str">
            <v>商品</v>
          </cell>
        </row>
        <row r="55">
          <cell r="C55" t="str">
            <v>basket_stock_limit</v>
          </cell>
          <cell r="D55" t="str">
            <v>int</v>
          </cell>
          <cell r="E55">
            <v>4</v>
          </cell>
          <cell r="G55">
            <v>0</v>
          </cell>
          <cell r="L55" t="str">
            <v>0Eq</v>
          </cell>
          <cell r="M55" t="str">
            <v>△</v>
          </cell>
          <cell r="Q55" t="str">
            <v>在庫</v>
          </cell>
          <cell r="T55" t="str">
            <v>買物かご追加時在庫マイナス用</v>
          </cell>
        </row>
        <row r="56">
          <cell r="C56" t="str">
            <v>order_stock_limit</v>
          </cell>
          <cell r="D56" t="str">
            <v>int</v>
          </cell>
          <cell r="E56">
            <v>4</v>
          </cell>
          <cell r="G56">
            <v>0</v>
          </cell>
          <cell r="L56" t="str">
            <v>0Eq</v>
          </cell>
          <cell r="M56" t="str">
            <v>△</v>
          </cell>
          <cell r="Q56" t="str">
            <v>在庫</v>
          </cell>
          <cell r="T56" t="str">
            <v>顧客清算時在庫マイナス用</v>
          </cell>
        </row>
        <row r="57">
          <cell r="C57" t="str">
            <v>order_confirm_stock_limit</v>
          </cell>
          <cell r="D57" t="str">
            <v>int</v>
          </cell>
          <cell r="E57">
            <v>4</v>
          </cell>
          <cell r="G57">
            <v>0</v>
          </cell>
          <cell r="L57" t="str">
            <v>0Eq</v>
          </cell>
          <cell r="M57" t="str">
            <v>△</v>
          </cell>
          <cell r="Q57" t="str">
            <v>在庫</v>
          </cell>
          <cell r="T57" t="str">
            <v>サプライヤ受付時在庫マイナス用</v>
          </cell>
        </row>
        <row r="58">
          <cell r="C58" t="str">
            <v>stock_limit</v>
          </cell>
          <cell r="D58" t="str">
            <v>int</v>
          </cell>
          <cell r="E58">
            <v>4</v>
          </cell>
          <cell r="G58">
            <v>0</v>
          </cell>
          <cell r="L58" t="str">
            <v>0Eq</v>
          </cell>
          <cell r="M58" t="str">
            <v>△</v>
          </cell>
          <cell r="Q58" t="str">
            <v>在庫</v>
          </cell>
          <cell r="T58" t="str">
            <v>配送時在庫マイナス用</v>
          </cell>
        </row>
        <row r="59">
          <cell r="C59" t="str">
            <v>basket_stock_amount</v>
          </cell>
          <cell r="D59" t="str">
            <v>int</v>
          </cell>
          <cell r="E59">
            <v>4</v>
          </cell>
          <cell r="G59">
            <v>0</v>
          </cell>
          <cell r="L59" t="str">
            <v>0Eq</v>
          </cell>
          <cell r="M59" t="str">
            <v>△</v>
          </cell>
          <cell r="Q59" t="str">
            <v>在庫</v>
          </cell>
          <cell r="T59" t="str">
            <v>買物かご追加時在庫マイナス用</v>
          </cell>
        </row>
        <row r="60">
          <cell r="C60" t="str">
            <v>order_stock_amount</v>
          </cell>
          <cell r="D60" t="str">
            <v>int</v>
          </cell>
          <cell r="E60">
            <v>4</v>
          </cell>
          <cell r="G60">
            <v>0</v>
          </cell>
          <cell r="L60" t="str">
            <v>0Eq</v>
          </cell>
          <cell r="M60" t="str">
            <v>△</v>
          </cell>
          <cell r="Q60" t="str">
            <v>在庫</v>
          </cell>
          <cell r="T60" t="str">
            <v>顧客清算時在庫マイナス用</v>
          </cell>
        </row>
        <row r="61">
          <cell r="C61" t="str">
            <v>order_confirm_stock_amount</v>
          </cell>
          <cell r="D61" t="str">
            <v>int</v>
          </cell>
          <cell r="E61">
            <v>4</v>
          </cell>
          <cell r="G61">
            <v>0</v>
          </cell>
          <cell r="L61" t="str">
            <v>0Eq</v>
          </cell>
          <cell r="M61" t="str">
            <v>△</v>
          </cell>
          <cell r="Q61" t="str">
            <v>在庫</v>
          </cell>
          <cell r="T61" t="str">
            <v>サプライヤ受付時在庫マイナス用</v>
          </cell>
        </row>
        <row r="62">
          <cell r="C62" t="str">
            <v>stock_amount</v>
          </cell>
          <cell r="D62" t="str">
            <v>int</v>
          </cell>
          <cell r="E62">
            <v>4</v>
          </cell>
          <cell r="G62">
            <v>0</v>
          </cell>
          <cell r="L62" t="str">
            <v>0Eq</v>
          </cell>
          <cell r="M62" t="str">
            <v>△</v>
          </cell>
          <cell r="Q62" t="str">
            <v>在庫</v>
          </cell>
          <cell r="T62" t="str">
            <v>配送時在庫マイナス用</v>
          </cell>
        </row>
        <row r="63">
          <cell r="C63" t="str">
            <v>active_flg</v>
          </cell>
          <cell r="D63" t="str">
            <v>nvarchar</v>
          </cell>
          <cell r="E63">
            <v>40</v>
          </cell>
          <cell r="L63" t="str">
            <v>L(40)S[ON,OFF]Eq</v>
          </cell>
          <cell r="M63" t="str">
            <v>○</v>
          </cell>
          <cell r="Q63" t="str">
            <v>在庫</v>
          </cell>
          <cell r="T63" t="str">
            <v>在庫管理フラグ(在庫管理する･･･"ON"　しない･･･"OFF")</v>
          </cell>
        </row>
        <row r="64">
          <cell r="C64" t="str">
            <v>sale_term_from</v>
          </cell>
          <cell r="D64" t="str">
            <v>varchar</v>
          </cell>
          <cell r="E64">
            <v>20</v>
          </cell>
          <cell r="L64" t="str">
            <v>L(20)Eq</v>
          </cell>
          <cell r="M64" t="str">
            <v>○</v>
          </cell>
          <cell r="Q64" t="str">
            <v>商品</v>
          </cell>
        </row>
        <row r="65">
          <cell r="C65" t="str">
            <v>sale_term_to</v>
          </cell>
          <cell r="D65" t="str">
            <v>varchar</v>
          </cell>
          <cell r="E65">
            <v>20</v>
          </cell>
          <cell r="L65" t="str">
            <v>L(20)Eq</v>
          </cell>
          <cell r="M65" t="str">
            <v>○</v>
          </cell>
          <cell r="Q65" t="str">
            <v>商品</v>
          </cell>
        </row>
        <row r="66">
          <cell r="C66" t="str">
            <v>sale_date</v>
          </cell>
          <cell r="D66" t="str">
            <v>varchar</v>
          </cell>
          <cell r="E66">
            <v>20</v>
          </cell>
          <cell r="L66" t="str">
            <v>NL(20)Eq</v>
          </cell>
          <cell r="M66" t="str">
            <v>○</v>
          </cell>
          <cell r="Q66" t="str">
            <v>商品</v>
          </cell>
          <cell r="T66" t="str">
            <v>YYYYMMDDHHMMSSのStringでセット</v>
          </cell>
        </row>
        <row r="67">
          <cell r="C67" t="str">
            <v>sale_date_disp</v>
          </cell>
          <cell r="D67" t="str">
            <v>nvarchar</v>
          </cell>
          <cell r="E67">
            <v>100</v>
          </cell>
          <cell r="L67" t="str">
            <v>L(100)Eq</v>
          </cell>
          <cell r="M67" t="str">
            <v>-</v>
          </cell>
          <cell r="Q67" t="str">
            <v>商品</v>
          </cell>
        </row>
        <row r="68">
          <cell r="C68" t="str">
            <v>disp_priority</v>
          </cell>
          <cell r="D68" t="str">
            <v>int</v>
          </cell>
          <cell r="G68">
            <v>0</v>
          </cell>
          <cell r="L68" t="str">
            <v>0Eq</v>
          </cell>
          <cell r="M68" t="str">
            <v>-</v>
          </cell>
          <cell r="Q68" t="str">
            <v>商品</v>
          </cell>
        </row>
        <row r="69">
          <cell r="C69" t="str">
            <v>recycling_flag</v>
          </cell>
          <cell r="D69" t="str">
            <v>varchar</v>
          </cell>
          <cell r="E69">
            <v>40</v>
          </cell>
          <cell r="L69" t="str">
            <v>L(40)S[USED]Eq</v>
          </cell>
          <cell r="M69" t="str">
            <v>-</v>
          </cell>
          <cell r="Q69" t="str">
            <v>商品</v>
          </cell>
          <cell r="T69" t="str">
            <v>中古：USED</v>
          </cell>
        </row>
        <row r="70">
          <cell r="C70" t="str">
            <v>digital_flg</v>
          </cell>
          <cell r="D70" t="str">
            <v>varchar</v>
          </cell>
          <cell r="E70">
            <v>16</v>
          </cell>
          <cell r="L70" t="str">
            <v>L(16)Eq</v>
          </cell>
          <cell r="M70" t="str">
            <v>-</v>
          </cell>
          <cell r="Q70" t="str">
            <v>商品</v>
          </cell>
          <cell r="T70" t="str">
            <v>ＥＳＤ区分</v>
          </cell>
        </row>
        <row r="71">
          <cell r="C71" t="str">
            <v>library_flg</v>
          </cell>
          <cell r="D71" t="str">
            <v>varchar</v>
          </cell>
          <cell r="E71">
            <v>16</v>
          </cell>
          <cell r="L71" t="str">
            <v>L(16)Eq</v>
          </cell>
          <cell r="M71" t="str">
            <v>-</v>
          </cell>
          <cell r="Q71" t="str">
            <v>商品</v>
          </cell>
        </row>
        <row r="72">
          <cell r="C72" t="str">
            <v>sale_flg</v>
          </cell>
          <cell r="D72" t="str">
            <v>varchar</v>
          </cell>
          <cell r="E72">
            <v>16</v>
          </cell>
          <cell r="L72" t="str">
            <v>L(16)Eq</v>
          </cell>
          <cell r="M72" t="str">
            <v>○</v>
          </cell>
          <cell r="Q72" t="str">
            <v>商品</v>
          </cell>
          <cell r="T72" t="str">
            <v>販売中：OPEN　販売中止：CLOSE　販売保留：SHOW</v>
          </cell>
        </row>
        <row r="73">
          <cell r="C73" t="str">
            <v>promotion_goods_flg</v>
          </cell>
          <cell r="D73" t="str">
            <v>varchar</v>
          </cell>
          <cell r="E73">
            <v>40</v>
          </cell>
          <cell r="L73" t="str">
            <v>L(40)Eq</v>
          </cell>
          <cell r="M73" t="str">
            <v>-</v>
          </cell>
          <cell r="Q73" t="str">
            <v>商品</v>
          </cell>
        </row>
        <row r="74">
          <cell r="C74" t="str">
            <v>member_control_flag</v>
          </cell>
          <cell r="D74" t="str">
            <v>varchar</v>
          </cell>
          <cell r="E74">
            <v>16</v>
          </cell>
          <cell r="L74" t="str">
            <v>L(16)S[MEMBER]Eq</v>
          </cell>
          <cell r="M74" t="str">
            <v>-</v>
          </cell>
          <cell r="Q74" t="str">
            <v>商品</v>
          </cell>
          <cell r="T74" t="str">
            <v>&lt;member_control_flag name="会員制御フラグ" /&gt;</v>
          </cell>
        </row>
        <row r="75">
          <cell r="C75" t="str">
            <v>sales_count</v>
          </cell>
          <cell r="D75" t="str">
            <v>int</v>
          </cell>
          <cell r="E75">
            <v>4</v>
          </cell>
          <cell r="G75">
            <v>0</v>
          </cell>
          <cell r="L75" t="str">
            <v>0Eq</v>
          </cell>
          <cell r="M75" t="str">
            <v>○</v>
          </cell>
          <cell r="Q75" t="str">
            <v>計算</v>
          </cell>
          <cell r="R75" t="str">
            <v>売り上げ商品数（日）</v>
          </cell>
          <cell r="T75" t="str">
            <v>売れている数。受注明細からバッチで値を格納。</v>
          </cell>
        </row>
        <row r="76">
          <cell r="C76" t="str">
            <v>sales_price_amount</v>
          </cell>
          <cell r="D76" t="str">
            <v>bigint</v>
          </cell>
          <cell r="E76">
            <v>8</v>
          </cell>
          <cell r="G76">
            <v>0</v>
          </cell>
          <cell r="L76" t="str">
            <v>0Eq</v>
          </cell>
          <cell r="M76" t="str">
            <v>○</v>
          </cell>
          <cell r="Q76" t="str">
            <v>計算</v>
          </cell>
          <cell r="R76" t="str">
            <v>売り上げ金額（日）</v>
          </cell>
          <cell r="T76" t="str">
            <v>売り上げ総金額</v>
          </cell>
        </row>
        <row r="77">
          <cell r="C77" t="str">
            <v>sales_count2</v>
          </cell>
          <cell r="D77" t="str">
            <v>int</v>
          </cell>
          <cell r="E77">
            <v>4</v>
          </cell>
          <cell r="G77">
            <v>0</v>
          </cell>
          <cell r="L77" t="str">
            <v>0Eq</v>
          </cell>
          <cell r="M77" t="str">
            <v>○</v>
          </cell>
          <cell r="Q77" t="str">
            <v>計算</v>
          </cell>
          <cell r="R77" t="str">
            <v>売り上げ商品数２（週）</v>
          </cell>
          <cell r="T77" t="str">
            <v>売れている数。受注明細からバッチで値を格納。</v>
          </cell>
        </row>
        <row r="78">
          <cell r="C78" t="str">
            <v>sales_price_amount2</v>
          </cell>
          <cell r="D78" t="str">
            <v>bigint</v>
          </cell>
          <cell r="E78">
            <v>8</v>
          </cell>
          <cell r="G78">
            <v>0</v>
          </cell>
          <cell r="L78" t="str">
            <v>0Eq</v>
          </cell>
          <cell r="M78" t="str">
            <v>○</v>
          </cell>
          <cell r="Q78" t="str">
            <v>計算</v>
          </cell>
          <cell r="R78" t="str">
            <v>売り上げ金額２（週）</v>
          </cell>
          <cell r="T78" t="str">
            <v>売り上げ総金額</v>
          </cell>
        </row>
        <row r="79">
          <cell r="C79" t="str">
            <v>sales_count3</v>
          </cell>
          <cell r="D79" t="str">
            <v>int</v>
          </cell>
          <cell r="E79">
            <v>4</v>
          </cell>
          <cell r="G79">
            <v>0</v>
          </cell>
          <cell r="L79" t="str">
            <v>0Eq</v>
          </cell>
          <cell r="M79" t="str">
            <v>○</v>
          </cell>
          <cell r="Q79" t="str">
            <v>計算</v>
          </cell>
          <cell r="R79" t="str">
            <v>売り上げ商品数３（月）</v>
          </cell>
          <cell r="T79" t="str">
            <v>売れている数。受注明細からバッチで値を格納。</v>
          </cell>
        </row>
        <row r="80">
          <cell r="C80" t="str">
            <v>sales_price_amount3</v>
          </cell>
          <cell r="D80" t="str">
            <v>bigint</v>
          </cell>
          <cell r="E80">
            <v>8</v>
          </cell>
          <cell r="G80">
            <v>0</v>
          </cell>
          <cell r="L80" t="str">
            <v>0Eq</v>
          </cell>
          <cell r="M80" t="str">
            <v>○</v>
          </cell>
          <cell r="Q80" t="str">
            <v>計算</v>
          </cell>
          <cell r="R80" t="str">
            <v>売り上げ金額３（月）</v>
          </cell>
          <cell r="T80" t="str">
            <v>売り上げ総金額</v>
          </cell>
        </row>
        <row r="81">
          <cell r="C81" t="str">
            <v>sales_count4</v>
          </cell>
          <cell r="D81" t="str">
            <v>int</v>
          </cell>
          <cell r="E81">
            <v>4</v>
          </cell>
          <cell r="G81">
            <v>0</v>
          </cell>
          <cell r="L81" t="str">
            <v>0Eq</v>
          </cell>
          <cell r="M81" t="str">
            <v>-</v>
          </cell>
          <cell r="T81" t="str">
            <v>売れている数。受注明細からバッチで値を格納。</v>
          </cell>
        </row>
        <row r="82">
          <cell r="C82" t="str">
            <v>sales_price_amount4</v>
          </cell>
          <cell r="D82" t="str">
            <v>bigint</v>
          </cell>
          <cell r="E82">
            <v>8</v>
          </cell>
          <cell r="G82">
            <v>0</v>
          </cell>
          <cell r="L82" t="str">
            <v>0Eq</v>
          </cell>
          <cell r="M82" t="str">
            <v>-</v>
          </cell>
          <cell r="T82" t="str">
            <v>売り上げ総金額</v>
          </cell>
        </row>
        <row r="83">
          <cell r="C83" t="str">
            <v>sales_count5</v>
          </cell>
          <cell r="D83" t="str">
            <v>int</v>
          </cell>
          <cell r="E83">
            <v>4</v>
          </cell>
          <cell r="G83">
            <v>0</v>
          </cell>
          <cell r="L83" t="str">
            <v>0Eq</v>
          </cell>
          <cell r="M83" t="str">
            <v>-</v>
          </cell>
          <cell r="T83" t="str">
            <v>売れている数。受注明細からバッチで値を格納。</v>
          </cell>
        </row>
        <row r="84">
          <cell r="C84" t="str">
            <v>sales_price_amount5</v>
          </cell>
          <cell r="D84" t="str">
            <v>bigint</v>
          </cell>
          <cell r="E84">
            <v>8</v>
          </cell>
          <cell r="G84">
            <v>0</v>
          </cell>
          <cell r="L84" t="str">
            <v>0Eq</v>
          </cell>
          <cell r="M84" t="str">
            <v>-</v>
          </cell>
          <cell r="T84" t="str">
            <v>売り上げ総金額</v>
          </cell>
        </row>
        <row r="85">
          <cell r="C85" t="str">
            <v>sales_history_info</v>
          </cell>
          <cell r="D85" t="str">
            <v>text</v>
          </cell>
          <cell r="E85">
            <v>16</v>
          </cell>
          <cell r="L85" t="str">
            <v>Eq</v>
          </cell>
          <cell r="M85" t="str">
            <v>-</v>
          </cell>
          <cell r="Q85" t="str">
            <v>計算</v>
          </cell>
          <cell r="R85" t="str">
            <v>売上げ履歴</v>
          </cell>
        </row>
        <row r="86">
          <cell r="C86" t="str">
            <v>variation_flg</v>
          </cell>
          <cell r="D86" t="str">
            <v>varchar</v>
          </cell>
          <cell r="E86">
            <v>16</v>
          </cell>
          <cell r="L86" t="str">
            <v>S[P,V]Eq</v>
          </cell>
          <cell r="M86" t="str">
            <v>-</v>
          </cell>
          <cell r="Q86" t="str">
            <v>商品</v>
          </cell>
        </row>
        <row r="87">
          <cell r="C87" t="str">
            <v>variation_parent_sku</v>
          </cell>
          <cell r="D87" t="str">
            <v>varchar</v>
          </cell>
          <cell r="E87">
            <v>40</v>
          </cell>
          <cell r="L87" t="str">
            <v>L(40)Eq</v>
          </cell>
          <cell r="M87" t="str">
            <v>-</v>
          </cell>
          <cell r="Q87" t="str">
            <v>商品</v>
          </cell>
          <cell r="T87" t="str">
            <v>バリエーションの子商品の場合、親商品SKUを入れておく</v>
          </cell>
        </row>
        <row r="88">
          <cell r="C88" t="str">
            <v>product_code_1</v>
          </cell>
          <cell r="D88" t="str">
            <v>varchar</v>
          </cell>
          <cell r="E88">
            <v>40</v>
          </cell>
          <cell r="L88" t="str">
            <v>L(40)Eq</v>
          </cell>
          <cell r="M88" t="str">
            <v>-</v>
          </cell>
          <cell r="Q88" t="str">
            <v>商品</v>
          </cell>
        </row>
        <row r="89">
          <cell r="C89" t="str">
            <v>product_code_2</v>
          </cell>
          <cell r="D89" t="str">
            <v>varchar</v>
          </cell>
          <cell r="E89">
            <v>40</v>
          </cell>
          <cell r="L89" t="str">
            <v>L(40)Eq</v>
          </cell>
          <cell r="M89" t="str">
            <v>-</v>
          </cell>
          <cell r="Q89" t="str">
            <v>商品</v>
          </cell>
        </row>
        <row r="90">
          <cell r="C90" t="str">
            <v>product_picture_path_1</v>
          </cell>
          <cell r="D90" t="str">
            <v>nvarchar</v>
          </cell>
          <cell r="E90">
            <v>255</v>
          </cell>
          <cell r="L90" t="str">
            <v>L(255)Eq</v>
          </cell>
          <cell r="M90" t="str">
            <v>-</v>
          </cell>
          <cell r="Q90" t="str">
            <v>商品</v>
          </cell>
        </row>
        <row r="91">
          <cell r="C91" t="str">
            <v>product_picture_path_2</v>
          </cell>
          <cell r="D91" t="str">
            <v>nvarchar</v>
          </cell>
          <cell r="E91">
            <v>255</v>
          </cell>
          <cell r="L91" t="str">
            <v>L(255)Eq</v>
          </cell>
          <cell r="M91" t="str">
            <v>-</v>
          </cell>
          <cell r="Q91" t="str">
            <v>商品</v>
          </cell>
        </row>
        <row r="92">
          <cell r="C92" t="str">
            <v>product_picture_path_3</v>
          </cell>
          <cell r="D92" t="str">
            <v>nvarchar</v>
          </cell>
          <cell r="E92">
            <v>255</v>
          </cell>
          <cell r="L92" t="str">
            <v>L(255)Eq</v>
          </cell>
          <cell r="M92" t="str">
            <v>-</v>
          </cell>
          <cell r="Q92" t="str">
            <v>商品</v>
          </cell>
        </row>
        <row r="93">
          <cell r="C93" t="str">
            <v>product_picture_path_4</v>
          </cell>
          <cell r="D93" t="str">
            <v>nvarchar</v>
          </cell>
          <cell r="E93">
            <v>255</v>
          </cell>
          <cell r="L93" t="str">
            <v>L(255)Eq</v>
          </cell>
          <cell r="M93" t="str">
            <v>-</v>
          </cell>
        </row>
        <row r="94">
          <cell r="C94" t="str">
            <v>product_picture_path_5</v>
          </cell>
          <cell r="D94" t="str">
            <v>nvarchar</v>
          </cell>
          <cell r="E94">
            <v>255</v>
          </cell>
          <cell r="L94" t="str">
            <v>L(255)Eq</v>
          </cell>
          <cell r="M94" t="str">
            <v>-</v>
          </cell>
        </row>
        <row r="95">
          <cell r="C95" t="str">
            <v>product_picture_path_6</v>
          </cell>
          <cell r="D95" t="str">
            <v>nvarchar</v>
          </cell>
          <cell r="E95">
            <v>255</v>
          </cell>
          <cell r="L95" t="str">
            <v>L(255)Eq</v>
          </cell>
          <cell r="M95" t="str">
            <v>-</v>
          </cell>
        </row>
        <row r="96">
          <cell r="C96" t="str">
            <v>product_picture_path_7</v>
          </cell>
          <cell r="D96" t="str">
            <v>nvarchar</v>
          </cell>
          <cell r="E96">
            <v>255</v>
          </cell>
          <cell r="L96" t="str">
            <v>L(255)Eq</v>
          </cell>
          <cell r="M96" t="str">
            <v>-</v>
          </cell>
        </row>
        <row r="97">
          <cell r="C97" t="str">
            <v>product_picture_path_8</v>
          </cell>
          <cell r="D97" t="str">
            <v>nvarchar</v>
          </cell>
          <cell r="E97">
            <v>255</v>
          </cell>
          <cell r="L97" t="str">
            <v>L(255)Eq</v>
          </cell>
          <cell r="M97" t="str">
            <v>-</v>
          </cell>
        </row>
        <row r="98">
          <cell r="C98" t="str">
            <v>product_picture_path_9</v>
          </cell>
          <cell r="D98" t="str">
            <v>nvarchar</v>
          </cell>
          <cell r="E98">
            <v>255</v>
          </cell>
          <cell r="L98" t="str">
            <v>L(255)Eq</v>
          </cell>
          <cell r="M98" t="str">
            <v>-</v>
          </cell>
        </row>
        <row r="99">
          <cell r="C99" t="str">
            <v>product_picture_path_10</v>
          </cell>
          <cell r="D99" t="str">
            <v>nvarchar</v>
          </cell>
          <cell r="E99">
            <v>255</v>
          </cell>
          <cell r="L99" t="str">
            <v>L(255)Eq</v>
          </cell>
          <cell r="M99" t="str">
            <v>-</v>
          </cell>
        </row>
        <row r="100">
          <cell r="C100" t="str">
            <v>property1</v>
          </cell>
          <cell r="D100" t="str">
            <v>nvarchar</v>
          </cell>
          <cell r="E100">
            <v>100</v>
          </cell>
          <cell r="L100" t="str">
            <v>L(100)Eq</v>
          </cell>
          <cell r="M100" t="str">
            <v>-</v>
          </cell>
          <cell r="Q100" t="str">
            <v>商品</v>
          </cell>
          <cell r="R100" t="str">
            <v>カンマ区切りで表示したいアイコンのＩＤをセット</v>
          </cell>
          <cell r="T100" t="str">
            <v>アイコン種類に紐づく画像パスはフロントで管理</v>
          </cell>
        </row>
        <row r="101">
          <cell r="C101" t="str">
            <v>property2</v>
          </cell>
          <cell r="D101" t="str">
            <v>nvarchar</v>
          </cell>
          <cell r="E101">
            <v>100</v>
          </cell>
          <cell r="L101" t="str">
            <v>L(100)Eq</v>
          </cell>
          <cell r="M101" t="str">
            <v>-</v>
          </cell>
          <cell r="Q101" t="str">
            <v>商品</v>
          </cell>
          <cell r="R101" t="str">
            <v>セールフラグとして使用</v>
          </cell>
        </row>
        <row r="102">
          <cell r="C102" t="str">
            <v>property3</v>
          </cell>
          <cell r="D102" t="str">
            <v>nvarchar</v>
          </cell>
          <cell r="E102">
            <v>100</v>
          </cell>
          <cell r="L102" t="str">
            <v>L(100)Eq</v>
          </cell>
          <cell r="M102" t="str">
            <v>-</v>
          </cell>
          <cell r="Q102" t="str">
            <v>商品</v>
          </cell>
          <cell r="R102" t="str">
            <v>お勧めフラグとして使用</v>
          </cell>
          <cell r="T102" t="str">
            <v>ACTIVE：有効
(Empty)：無効</v>
          </cell>
        </row>
        <row r="103">
          <cell r="C103" t="str">
            <v>property4</v>
          </cell>
          <cell r="D103" t="str">
            <v>nvarchar</v>
          </cell>
          <cell r="E103">
            <v>100</v>
          </cell>
          <cell r="L103" t="str">
            <v>L(100)Eq</v>
          </cell>
          <cell r="M103" t="str">
            <v>-</v>
          </cell>
          <cell r="Q103" t="str">
            <v>商品</v>
          </cell>
        </row>
        <row r="104">
          <cell r="C104" t="str">
            <v>property5</v>
          </cell>
          <cell r="D104" t="str">
            <v>nvarchar</v>
          </cell>
          <cell r="E104">
            <v>100</v>
          </cell>
          <cell r="L104" t="str">
            <v>L(100)Eq</v>
          </cell>
          <cell r="M104" t="str">
            <v>-</v>
          </cell>
          <cell r="Q104" t="str">
            <v>商品</v>
          </cell>
        </row>
        <row r="105">
          <cell r="C105" t="str">
            <v>property6</v>
          </cell>
          <cell r="D105" t="str">
            <v>nvarchar</v>
          </cell>
          <cell r="E105">
            <v>100</v>
          </cell>
          <cell r="L105" t="str">
            <v>L(100)Eq</v>
          </cell>
          <cell r="M105" t="str">
            <v>○</v>
          </cell>
          <cell r="N105" t="str">
            <v>Japanese</v>
          </cell>
          <cell r="Q105" t="str">
            <v>商品</v>
          </cell>
        </row>
        <row r="106">
          <cell r="C106" t="str">
            <v>property7</v>
          </cell>
          <cell r="D106" t="str">
            <v>nvarchar</v>
          </cell>
          <cell r="E106">
            <v>100</v>
          </cell>
          <cell r="L106" t="str">
            <v>L(100)Eq</v>
          </cell>
          <cell r="M106" t="str">
            <v>○</v>
          </cell>
          <cell r="N106" t="str">
            <v>Japanese</v>
          </cell>
          <cell r="Q106" t="str">
            <v>商品</v>
          </cell>
        </row>
        <row r="107">
          <cell r="C107" t="str">
            <v>property8</v>
          </cell>
          <cell r="D107" t="str">
            <v>nvarchar</v>
          </cell>
          <cell r="E107">
            <v>100</v>
          </cell>
          <cell r="L107" t="str">
            <v>L(100)Eq</v>
          </cell>
          <cell r="M107" t="str">
            <v>-</v>
          </cell>
          <cell r="Q107" t="str">
            <v>商品</v>
          </cell>
        </row>
        <row r="108">
          <cell r="C108" t="str">
            <v>property9</v>
          </cell>
          <cell r="D108" t="str">
            <v>nvarchar</v>
          </cell>
          <cell r="E108">
            <v>100</v>
          </cell>
          <cell r="L108" t="str">
            <v>L(100)Eq</v>
          </cell>
          <cell r="M108" t="str">
            <v>-</v>
          </cell>
          <cell r="Q108" t="str">
            <v>商品</v>
          </cell>
        </row>
        <row r="109">
          <cell r="C109" t="str">
            <v>property10</v>
          </cell>
          <cell r="D109" t="str">
            <v>nvarchar</v>
          </cell>
          <cell r="E109">
            <v>100</v>
          </cell>
          <cell r="L109" t="str">
            <v>L(100)Eq</v>
          </cell>
          <cell r="M109" t="str">
            <v>-</v>
          </cell>
          <cell r="Q109" t="str">
            <v>商品</v>
          </cell>
        </row>
        <row r="110">
          <cell r="C110" t="str">
            <v>property11</v>
          </cell>
          <cell r="D110" t="str">
            <v>nvarchar</v>
          </cell>
          <cell r="E110">
            <v>100</v>
          </cell>
          <cell r="L110" t="str">
            <v>L(100)Eq</v>
          </cell>
          <cell r="M110" t="str">
            <v>-</v>
          </cell>
          <cell r="Q110" t="str">
            <v>商品</v>
          </cell>
        </row>
        <row r="111">
          <cell r="C111" t="str">
            <v>property12</v>
          </cell>
          <cell r="D111" t="str">
            <v>nvarchar</v>
          </cell>
          <cell r="E111">
            <v>100</v>
          </cell>
          <cell r="L111" t="str">
            <v>L(100)Eq</v>
          </cell>
          <cell r="M111" t="str">
            <v>-</v>
          </cell>
          <cell r="Q111" t="str">
            <v>商品</v>
          </cell>
        </row>
        <row r="112">
          <cell r="C112" t="str">
            <v>property13</v>
          </cell>
          <cell r="D112" t="str">
            <v>nvarchar</v>
          </cell>
          <cell r="E112">
            <v>100</v>
          </cell>
          <cell r="L112" t="str">
            <v>L(100)Eq</v>
          </cell>
          <cell r="M112" t="str">
            <v>-</v>
          </cell>
          <cell r="Q112" t="str">
            <v>商品</v>
          </cell>
        </row>
        <row r="113">
          <cell r="C113" t="str">
            <v>property14</v>
          </cell>
          <cell r="D113" t="str">
            <v>nvarchar</v>
          </cell>
          <cell r="E113">
            <v>100</v>
          </cell>
          <cell r="L113" t="str">
            <v>L(100)Eq</v>
          </cell>
          <cell r="M113" t="str">
            <v>-</v>
          </cell>
          <cell r="Q113" t="str">
            <v>商品</v>
          </cell>
        </row>
        <row r="114">
          <cell r="C114" t="str">
            <v>property15</v>
          </cell>
          <cell r="D114" t="str">
            <v>nvarchar</v>
          </cell>
          <cell r="E114">
            <v>100</v>
          </cell>
          <cell r="L114" t="str">
            <v>L(100)Eq</v>
          </cell>
          <cell r="M114" t="str">
            <v>-</v>
          </cell>
          <cell r="Q114" t="str">
            <v>商品</v>
          </cell>
        </row>
        <row r="115">
          <cell r="C115" t="str">
            <v>property16</v>
          </cell>
          <cell r="D115" t="str">
            <v>text</v>
          </cell>
          <cell r="L115" t="str">
            <v>Eq</v>
          </cell>
          <cell r="M115" t="str">
            <v>-</v>
          </cell>
          <cell r="Q115" t="str">
            <v>商品</v>
          </cell>
        </row>
        <row r="116">
          <cell r="C116" t="str">
            <v>property17</v>
          </cell>
          <cell r="D116" t="str">
            <v>text</v>
          </cell>
          <cell r="L116" t="str">
            <v>Eq</v>
          </cell>
          <cell r="M116" t="str">
            <v>-</v>
          </cell>
          <cell r="Q116" t="str">
            <v>商品</v>
          </cell>
        </row>
        <row r="117">
          <cell r="C117" t="str">
            <v>property18</v>
          </cell>
          <cell r="D117" t="str">
            <v>text</v>
          </cell>
          <cell r="L117" t="str">
            <v>Eq</v>
          </cell>
          <cell r="M117" t="str">
            <v>-</v>
          </cell>
          <cell r="Q117" t="str">
            <v>商品</v>
          </cell>
        </row>
        <row r="118">
          <cell r="C118" t="str">
            <v>property19</v>
          </cell>
          <cell r="D118" t="str">
            <v>text</v>
          </cell>
          <cell r="L118" t="str">
            <v>Eq</v>
          </cell>
          <cell r="M118" t="str">
            <v>-</v>
          </cell>
          <cell r="Q118" t="str">
            <v>商品</v>
          </cell>
        </row>
        <row r="119">
          <cell r="C119" t="str">
            <v>property20</v>
          </cell>
          <cell r="D119" t="str">
            <v>text</v>
          </cell>
          <cell r="L119" t="str">
            <v>Eq</v>
          </cell>
          <cell r="M119" t="str">
            <v>-</v>
          </cell>
          <cell r="Q119" t="str">
            <v>商品</v>
          </cell>
        </row>
        <row r="120">
          <cell r="C120" t="str">
            <v>status1</v>
          </cell>
          <cell r="D120" t="str">
            <v>nvarchar</v>
          </cell>
          <cell r="E120">
            <v>100</v>
          </cell>
          <cell r="L120" t="str">
            <v>L(100)Eq</v>
          </cell>
          <cell r="M120" t="str">
            <v>-</v>
          </cell>
          <cell r="Q120" t="str">
            <v>商品</v>
          </cell>
        </row>
        <row r="121">
          <cell r="C121" t="str">
            <v>status2</v>
          </cell>
          <cell r="D121" t="str">
            <v>nvarchar</v>
          </cell>
          <cell r="E121">
            <v>100</v>
          </cell>
          <cell r="L121" t="str">
            <v>L(100)Eq</v>
          </cell>
          <cell r="M121" t="str">
            <v>-</v>
          </cell>
          <cell r="Q121" t="str">
            <v>商品</v>
          </cell>
        </row>
        <row r="122">
          <cell r="C122" t="str">
            <v>status3</v>
          </cell>
          <cell r="D122" t="str">
            <v>nvarchar</v>
          </cell>
          <cell r="E122">
            <v>100</v>
          </cell>
          <cell r="L122" t="str">
            <v>L(100)Eq</v>
          </cell>
          <cell r="M122" t="str">
            <v>-</v>
          </cell>
          <cell r="Q122" t="str">
            <v>商品</v>
          </cell>
        </row>
        <row r="123">
          <cell r="C123" t="str">
            <v>search_keywords_1</v>
          </cell>
          <cell r="D123" t="str">
            <v>text</v>
          </cell>
          <cell r="E123">
            <v>16</v>
          </cell>
          <cell r="L123" t="str">
            <v>Eq</v>
          </cell>
          <cell r="M123" t="str">
            <v>○</v>
          </cell>
          <cell r="N123" t="str">
            <v>Japanese</v>
          </cell>
          <cell r="Q123" t="str">
            <v>複合</v>
          </cell>
        </row>
        <row r="124">
          <cell r="C124" t="str">
            <v>search_keywords_2</v>
          </cell>
          <cell r="D124" t="str">
            <v>text</v>
          </cell>
          <cell r="E124">
            <v>16</v>
          </cell>
          <cell r="L124" t="str">
            <v>Eq</v>
          </cell>
          <cell r="M124" t="str">
            <v>-</v>
          </cell>
          <cell r="N124" t="str">
            <v>-</v>
          </cell>
          <cell r="Q124" t="str">
            <v>複合</v>
          </cell>
        </row>
        <row r="125">
          <cell r="C125" t="str">
            <v>search_keywords_3</v>
          </cell>
          <cell r="D125" t="str">
            <v>text</v>
          </cell>
          <cell r="E125">
            <v>16</v>
          </cell>
          <cell r="L125" t="str">
            <v>Eq</v>
          </cell>
          <cell r="M125" t="str">
            <v>-</v>
          </cell>
          <cell r="N125" t="str">
            <v>-</v>
          </cell>
          <cell r="Q125" t="str">
            <v>複合</v>
          </cell>
        </row>
        <row r="126">
          <cell r="C126" t="str">
            <v>search_keywords_4</v>
          </cell>
          <cell r="D126" t="str">
            <v>text</v>
          </cell>
          <cell r="E126">
            <v>16</v>
          </cell>
          <cell r="L126" t="str">
            <v>Eq</v>
          </cell>
          <cell r="M126" t="str">
            <v>-</v>
          </cell>
          <cell r="N126" t="str">
            <v>-</v>
          </cell>
          <cell r="Q126" t="str">
            <v>複合</v>
          </cell>
        </row>
        <row r="127">
          <cell r="C127" t="str">
            <v>search_keywords_5</v>
          </cell>
          <cell r="D127" t="str">
            <v>text</v>
          </cell>
          <cell r="E127">
            <v>16</v>
          </cell>
          <cell r="L127" t="str">
            <v>Eq</v>
          </cell>
          <cell r="M127" t="str">
            <v>-</v>
          </cell>
          <cell r="N127" t="str">
            <v>-</v>
          </cell>
          <cell r="Q127" t="str">
            <v>複合</v>
          </cell>
        </row>
        <row r="128">
          <cell r="C128" t="str">
            <v>genre1</v>
          </cell>
          <cell r="D128" t="str">
            <v>text</v>
          </cell>
          <cell r="E128">
            <v>16</v>
          </cell>
          <cell r="L128" t="str">
            <v>L(255)Eq</v>
          </cell>
          <cell r="M128" t="str">
            <v>○</v>
          </cell>
          <cell r="N128" t="str">
            <v>English</v>
          </cell>
          <cell r="Q128" t="str">
            <v>商品</v>
          </cell>
          <cell r="T128" t="str">
            <v>商品ジャンル（親含む）</v>
          </cell>
        </row>
        <row r="129">
          <cell r="C129" t="str">
            <v>genre2</v>
          </cell>
          <cell r="D129" t="str">
            <v>varchar</v>
          </cell>
          <cell r="E129">
            <v>255</v>
          </cell>
          <cell r="L129" t="str">
            <v>L(255)Eq</v>
          </cell>
          <cell r="M129" t="str">
            <v>○</v>
          </cell>
          <cell r="Q129" t="str">
            <v>商品</v>
          </cell>
          <cell r="T129" t="str">
            <v>商品ジャンル（末端だけ）</v>
          </cell>
        </row>
        <row r="130">
          <cell r="C130" t="str">
            <v>genre3</v>
          </cell>
          <cell r="D130" t="str">
            <v>varchar</v>
          </cell>
          <cell r="E130">
            <v>255</v>
          </cell>
          <cell r="L130" t="str">
            <v>L(255)Eq</v>
          </cell>
          <cell r="M130" t="str">
            <v>○</v>
          </cell>
          <cell r="Q130" t="str">
            <v>商品</v>
          </cell>
          <cell r="T130" t="str">
            <v>商品ジャンルメイン（親含む）</v>
          </cell>
        </row>
        <row r="131">
          <cell r="C131" t="str">
            <v>main_genre</v>
          </cell>
          <cell r="D131" t="str">
            <v>varchar</v>
          </cell>
          <cell r="E131">
            <v>50</v>
          </cell>
          <cell r="L131" t="str">
            <v>L(50)Eq</v>
          </cell>
          <cell r="M131" t="str">
            <v>○</v>
          </cell>
          <cell r="Q131" t="str">
            <v>商品</v>
          </cell>
          <cell r="T131" t="str">
            <v>商品ジャンルメイン（末端だけ）</v>
          </cell>
        </row>
        <row r="132">
          <cell r="C132" t="str">
            <v>search_genre_1</v>
          </cell>
          <cell r="D132" t="str">
            <v>varchar</v>
          </cell>
          <cell r="E132">
            <v>255</v>
          </cell>
          <cell r="L132" t="str">
            <v>L(255)Eq</v>
          </cell>
          <cell r="M132" t="str">
            <v>-</v>
          </cell>
          <cell r="Q132" t="str">
            <v>-</v>
          </cell>
        </row>
        <row r="133">
          <cell r="C133" t="str">
            <v>search_genre_2</v>
          </cell>
          <cell r="D133" t="str">
            <v>varchar</v>
          </cell>
          <cell r="E133">
            <v>255</v>
          </cell>
          <cell r="L133" t="str">
            <v>L(255)Eq</v>
          </cell>
          <cell r="M133" t="str">
            <v>-</v>
          </cell>
          <cell r="Q133" t="str">
            <v>-</v>
          </cell>
        </row>
        <row r="134">
          <cell r="C134" t="str">
            <v>search_genre_3</v>
          </cell>
          <cell r="D134" t="str">
            <v>varchar</v>
          </cell>
          <cell r="E134">
            <v>255</v>
          </cell>
          <cell r="L134" t="str">
            <v>L(255)Eq</v>
          </cell>
          <cell r="M134" t="str">
            <v>-</v>
          </cell>
          <cell r="Q134" t="str">
            <v>-</v>
          </cell>
        </row>
        <row r="135">
          <cell r="C135" t="str">
            <v>search_genre_4</v>
          </cell>
          <cell r="D135" t="str">
            <v>varchar</v>
          </cell>
          <cell r="E135">
            <v>255</v>
          </cell>
          <cell r="L135" t="str">
            <v>L(255)Eq</v>
          </cell>
          <cell r="M135" t="str">
            <v>-</v>
          </cell>
          <cell r="Q135" t="str">
            <v>-</v>
          </cell>
        </row>
        <row r="136">
          <cell r="C136" t="str">
            <v>search_genre_5</v>
          </cell>
          <cell r="D136" t="str">
            <v>varchar</v>
          </cell>
          <cell r="E136">
            <v>255</v>
          </cell>
          <cell r="L136" t="str">
            <v>L(255)Eq</v>
          </cell>
          <cell r="M136" t="str">
            <v>-</v>
          </cell>
          <cell r="Q136" t="str">
            <v>-</v>
          </cell>
        </row>
        <row r="137">
          <cell r="C137" t="str">
            <v>check_stock_type</v>
          </cell>
          <cell r="D137" t="str">
            <v>varchar</v>
          </cell>
          <cell r="E137">
            <v>50</v>
          </cell>
          <cell r="L137" t="str">
            <v>L(50)Eq</v>
          </cell>
          <cell r="M137" t="str">
            <v>○</v>
          </cell>
        </row>
        <row r="138">
          <cell r="C138" t="str">
            <v>optional_data_xml</v>
          </cell>
          <cell r="D138" t="str">
            <v>text</v>
          </cell>
          <cell r="E138">
            <v>16</v>
          </cell>
          <cell r="L138" t="str">
            <v>Eq</v>
          </cell>
          <cell r="M138" t="str">
            <v>-</v>
          </cell>
        </row>
        <row r="139">
          <cell r="C139" t="str">
            <v>date_created</v>
          </cell>
          <cell r="D139" t="str">
            <v>datetime</v>
          </cell>
          <cell r="E139">
            <v>8</v>
          </cell>
          <cell r="G139" t="str">
            <v>getdate()</v>
          </cell>
          <cell r="L139" t="str">
            <v>Eq</v>
          </cell>
          <cell r="M139" t="str">
            <v>○</v>
          </cell>
          <cell r="Q139" t="str">
            <v>-</v>
          </cell>
        </row>
        <row r="140">
          <cell r="C140" t="str">
            <v>date_changed</v>
          </cell>
          <cell r="D140" t="str">
            <v>datetime</v>
          </cell>
          <cell r="E140">
            <v>8</v>
          </cell>
          <cell r="G140" t="str">
            <v>getdate()</v>
          </cell>
          <cell r="L140" t="str">
            <v>Eq</v>
          </cell>
          <cell r="M140" t="str">
            <v>○</v>
          </cell>
          <cell r="Q140" t="str">
            <v>-</v>
          </cell>
        </row>
        <row r="141">
          <cell r="C141" t="str">
            <v>del_flag</v>
          </cell>
          <cell r="D141" t="str">
            <v>varchar</v>
          </cell>
          <cell r="E141">
            <v>10</v>
          </cell>
          <cell r="L141" t="str">
            <v>L(10)S[DEL]Eq</v>
          </cell>
          <cell r="M141" t="str">
            <v>○</v>
          </cell>
          <cell r="T141" t="str">
            <v>削除「DEL」</v>
          </cell>
        </row>
        <row r="142">
          <cell r="C142" t="str">
            <v>batch_flag</v>
          </cell>
          <cell r="D142" t="str">
            <v>varchar</v>
          </cell>
          <cell r="E142">
            <v>20</v>
          </cell>
          <cell r="L142" t="str">
            <v>L(20)Eq</v>
          </cell>
          <cell r="M142" t="str">
            <v>○</v>
          </cell>
          <cell r="T142" t="str">
            <v>バッチ処理でのみ使用する</v>
          </cell>
        </row>
      </sheetData>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買い物かごマスタ"/>
      <sheetName val="キャッシュ"/>
      <sheetName val="顧客管理テーブル"/>
      <sheetName val="受注マスタ"/>
      <sheetName val="受注明細"/>
      <sheetName val="商品マスタ"/>
      <sheetName val="商品検索用テーブル"/>
      <sheetName val="(旧 商品検索用テーブル)"/>
      <sheetName val="商品グループ属性マスタ"/>
      <sheetName val="在庫マスタ"/>
      <sheetName val="取引業者マスタ"/>
      <sheetName val="分類マスタ"/>
      <sheetName val="ポイント管理マスタ"/>
      <sheetName val="顧客別ポイントマスタ"/>
      <sheetName val="顧客別ポイント履歴"/>
      <sheetName val="●オプションマスタ"/>
      <sheetName val="●発注マスタ"/>
      <sheetName val="店舗管理テーブル"/>
      <sheetName val="店舗グループ化マスタ"/>
      <sheetName val="郵便番号マスタ"/>
      <sheetName val="▼買い物かごXML"/>
      <sheetName val="パブリッシュ管理マスタ"/>
      <sheetName val="コンテンツ管理マスタ"/>
      <sheetName val="コンテンツテンプレートマスタ"/>
      <sheetName val="バナー管理マスタ"/>
      <sheetName val="表示＆クリックログ管理テーブル（１時）"/>
      <sheetName val="リンク管理テーブル"/>
      <sheetName val="HTML部品管理"/>
      <sheetName val="オペレータ管理"/>
      <sheetName val="メールアカウントマスタ"/>
      <sheetName val="メール文書テーブル"/>
      <sheetName val="通知希望者マスタ"/>
      <sheetName val="コミュニティ設定テーブル"/>
      <sheetName val="コミュニティ設定集計マスタ"/>
      <sheetName val="コミュニティテーブル"/>
      <sheetName val="コミュニティ評価マスタ"/>
      <sheetName val="コミュニティ集計マスタ"/>
      <sheetName val="コミュニティ回答テーブル"/>
      <sheetName val="スケジュール管理テーブル"/>
      <sheetName val="検索履歴テーブル"/>
      <sheetName val="オペレーションログテーブル"/>
      <sheetName val="アンケートマスタ"/>
      <sheetName val="アンケート回答テーブル"/>
      <sheetName val="アンケート回答集計テーブル"/>
      <sheetName val="uc_ip_domain"/>
      <sheetName val="uc_seo_rank"/>
      <sheetName val="uc_sqllog"/>
      <sheetName val="uc_seo_keyword"/>
      <sheetName val="uc_seo_research"/>
      <sheetName val="uc_sem_research"/>
    </sheetNames>
    <sheetDataSet>
      <sheetData sheetId="0" refreshError="1"/>
      <sheetData sheetId="1" refreshError="1"/>
      <sheetData sheetId="2" refreshError="1"/>
      <sheetData sheetId="3" refreshError="1"/>
      <sheetData sheetId="4" refreshError="1"/>
      <sheetData sheetId="5" refreshError="1"/>
      <sheetData sheetId="6">
        <row r="8">
          <cell r="C8" t="str">
            <v>フィールド名（英語）</v>
          </cell>
          <cell r="D8" t="str">
            <v>Ｔｙｐｅ</v>
          </cell>
          <cell r="E8" t="str">
            <v>カラム数</v>
          </cell>
          <cell r="F8" t="str">
            <v>Ｎｕｌｌ</v>
          </cell>
          <cell r="G8" t="str">
            <v>Ｄｅｆａｕｌｔ</v>
          </cell>
          <cell r="H8" t="str">
            <v>№</v>
          </cell>
          <cell r="I8" t="str">
            <v>ＰＫ</v>
          </cell>
          <cell r="J8" t="str">
            <v>UK</v>
          </cell>
          <cell r="K8" t="str">
            <v>ＦＫ</v>
          </cell>
          <cell r="L8" t="str">
            <v>Cmd</v>
          </cell>
          <cell r="M8" t="str">
            <v>フルテキストカタログ</v>
          </cell>
          <cell r="N8" t="str">
            <v>検索バー</v>
          </cell>
          <cell r="O8" t="str">
            <v>詳細検索</v>
          </cell>
          <cell r="P8" t="str">
            <v>ソース</v>
          </cell>
          <cell r="Q8" t="str">
            <v>定義（Sofmap）</v>
          </cell>
          <cell r="R8" t="str">
            <v>インデックス</v>
          </cell>
          <cell r="S8" t="str">
            <v>備考（Sofmap）</v>
          </cell>
          <cell r="T8" t="str">
            <v>備考(FW)</v>
          </cell>
        </row>
        <row r="9">
          <cell r="C9" t="str">
            <v>dept_id</v>
          </cell>
          <cell r="D9" t="str">
            <v>varchar</v>
          </cell>
          <cell r="E9">
            <v>8</v>
          </cell>
          <cell r="L9" t="str">
            <v>NL(8)Eq</v>
          </cell>
          <cell r="P9" t="str">
            <v>商品</v>
          </cell>
          <cell r="Q9" t="str">
            <v>店舗ＩＤ</v>
          </cell>
        </row>
        <row r="10">
          <cell r="C10" t="str">
            <v>pfid</v>
          </cell>
          <cell r="D10" t="str">
            <v>varchar</v>
          </cell>
          <cell r="E10">
            <v>40</v>
          </cell>
          <cell r="L10" t="str">
            <v>L(40)Eq</v>
          </cell>
          <cell r="P10" t="str">
            <v>商品</v>
          </cell>
          <cell r="Q10" t="str">
            <v>ＥＣ商品ＩＤ（システム冗長化項目）</v>
          </cell>
        </row>
        <row r="11">
          <cell r="C11" t="str">
            <v>sku</v>
          </cell>
          <cell r="D11" t="str">
            <v>varchar</v>
          </cell>
          <cell r="E11">
            <v>40</v>
          </cell>
          <cell r="I11" t="str">
            <v>○</v>
          </cell>
          <cell r="L11" t="str">
            <v>NL(40)Eq</v>
          </cell>
          <cell r="O11" t="str">
            <v>JANコード・商品番号</v>
          </cell>
          <cell r="P11" t="str">
            <v>商品</v>
          </cell>
          <cell r="Q11" t="str">
            <v>ＥＣ商品ＩＤ</v>
          </cell>
        </row>
        <row r="12">
          <cell r="C12" t="str">
            <v>stock_id</v>
          </cell>
          <cell r="D12" t="str">
            <v>varchar</v>
          </cell>
          <cell r="E12">
            <v>40</v>
          </cell>
          <cell r="L12" t="str">
            <v>L(40)Eq</v>
          </cell>
          <cell r="P12" t="str">
            <v>商品</v>
          </cell>
          <cell r="Q12" t="str">
            <v>在庫ID（＝ＳＫＵ）</v>
          </cell>
        </row>
        <row r="13">
          <cell r="C13" t="str">
            <v>warehouse_id</v>
          </cell>
          <cell r="D13" t="str">
            <v>varchar</v>
          </cell>
          <cell r="E13">
            <v>40</v>
          </cell>
          <cell r="L13" t="str">
            <v>L(40)Eq</v>
          </cell>
          <cell r="P13" t="str">
            <v>在庫</v>
          </cell>
          <cell r="Q13" t="str">
            <v>－</v>
          </cell>
        </row>
        <row r="14">
          <cell r="C14" t="str">
            <v>product_name_1</v>
          </cell>
          <cell r="D14" t="str">
            <v>nvarchar</v>
          </cell>
          <cell r="E14">
            <v>100</v>
          </cell>
          <cell r="L14" t="str">
            <v>L(100)Eq</v>
          </cell>
          <cell r="M14" t="str">
            <v>○</v>
          </cell>
          <cell r="N14" t="str">
            <v>○</v>
          </cell>
          <cell r="O14" t="str">
            <v>キーワード
商品名・型番</v>
          </cell>
          <cell r="P14" t="str">
            <v>商品</v>
          </cell>
          <cell r="Q14" t="str">
            <v>商品名</v>
          </cell>
          <cell r="R14" t="str">
            <v>IX_product_name_1</v>
          </cell>
        </row>
        <row r="15">
          <cell r="C15" t="str">
            <v>product_name_2</v>
          </cell>
          <cell r="D15" t="str">
            <v>nvarchar</v>
          </cell>
          <cell r="E15">
            <v>100</v>
          </cell>
          <cell r="L15" t="str">
            <v>L(100)Eq</v>
          </cell>
          <cell r="M15" t="str">
            <v>○</v>
          </cell>
          <cell r="P15" t="str">
            <v>商品</v>
          </cell>
          <cell r="Q15" t="str">
            <v>商品名（読み）</v>
          </cell>
        </row>
        <row r="16">
          <cell r="C16" t="str">
            <v>product_name_3</v>
          </cell>
          <cell r="D16" t="str">
            <v>nvarchar</v>
          </cell>
          <cell r="E16">
            <v>100</v>
          </cell>
          <cell r="L16" t="str">
            <v>L(100)Eq</v>
          </cell>
          <cell r="M16" t="str">
            <v>○</v>
          </cell>
          <cell r="P16" t="str">
            <v>商品</v>
          </cell>
          <cell r="Q16" t="str">
            <v>－</v>
          </cell>
        </row>
        <row r="17">
          <cell r="C17" t="str">
            <v>product_name_4</v>
          </cell>
          <cell r="D17" t="str">
            <v>nvarchar</v>
          </cell>
          <cell r="E17">
            <v>100</v>
          </cell>
          <cell r="L17" t="str">
            <v>L(100)Eq</v>
          </cell>
          <cell r="M17" t="str">
            <v>○</v>
          </cell>
          <cell r="P17" t="str">
            <v>商品</v>
          </cell>
          <cell r="Q17" t="str">
            <v>－</v>
          </cell>
        </row>
        <row r="18">
          <cell r="C18" t="str">
            <v>product_name_5</v>
          </cell>
          <cell r="D18" t="str">
            <v>nvarchar</v>
          </cell>
          <cell r="E18">
            <v>100</v>
          </cell>
          <cell r="L18" t="str">
            <v>L(100)Eq</v>
          </cell>
          <cell r="M18" t="str">
            <v>○</v>
          </cell>
          <cell r="P18" t="str">
            <v>商品</v>
          </cell>
          <cell r="Q18" t="str">
            <v>AS商品名</v>
          </cell>
        </row>
        <row r="19">
          <cell r="C19" t="str">
            <v>product_name_6</v>
          </cell>
          <cell r="D19" t="str">
            <v>nvarchar</v>
          </cell>
          <cell r="E19">
            <v>100</v>
          </cell>
          <cell r="L19" t="str">
            <v>L(100)Eq</v>
          </cell>
          <cell r="M19" t="str">
            <v>○</v>
          </cell>
          <cell r="P19" t="str">
            <v>商品</v>
          </cell>
          <cell r="Q19" t="str">
            <v>AS商品名（読み）</v>
          </cell>
        </row>
        <row r="20">
          <cell r="C20" t="str">
            <v>product_name_7</v>
          </cell>
          <cell r="D20" t="str">
            <v>nvarchar</v>
          </cell>
          <cell r="E20">
            <v>100</v>
          </cell>
          <cell r="L20" t="str">
            <v>L(100)Eq</v>
          </cell>
          <cell r="M20" t="str">
            <v>○</v>
          </cell>
          <cell r="P20" t="str">
            <v>商品</v>
          </cell>
          <cell r="Q20" t="str">
            <v>－</v>
          </cell>
        </row>
        <row r="21">
          <cell r="C21" t="str">
            <v>product_name_8</v>
          </cell>
          <cell r="D21" t="str">
            <v>nvarchar</v>
          </cell>
          <cell r="E21">
            <v>100</v>
          </cell>
          <cell r="L21" t="str">
            <v>L(100)Eq</v>
          </cell>
          <cell r="M21" t="str">
            <v>○</v>
          </cell>
          <cell r="P21" t="str">
            <v>商品</v>
          </cell>
          <cell r="Q21" t="str">
            <v>－</v>
          </cell>
        </row>
        <row r="22">
          <cell r="C22" t="str">
            <v>product_name_9</v>
          </cell>
          <cell r="D22" t="str">
            <v>nvarchar</v>
          </cell>
          <cell r="E22">
            <v>100</v>
          </cell>
          <cell r="L22" t="str">
            <v>L(100)Eq</v>
          </cell>
          <cell r="M22" t="str">
            <v>○</v>
          </cell>
          <cell r="P22" t="str">
            <v>商品</v>
          </cell>
          <cell r="Q22" t="str">
            <v>－</v>
          </cell>
        </row>
        <row r="23">
          <cell r="C23" t="str">
            <v>product_name_10</v>
          </cell>
          <cell r="D23" t="str">
            <v>nvarchar</v>
          </cell>
          <cell r="E23">
            <v>100</v>
          </cell>
          <cell r="L23" t="str">
            <v>L(100)Eq</v>
          </cell>
          <cell r="M23" t="str">
            <v>○</v>
          </cell>
          <cell r="P23" t="str">
            <v>商品</v>
          </cell>
          <cell r="Q23" t="str">
            <v>－</v>
          </cell>
        </row>
        <row r="24">
          <cell r="C24" t="str">
            <v>product_maker_code</v>
          </cell>
          <cell r="D24" t="str">
            <v>nvarchar</v>
          </cell>
          <cell r="E24">
            <v>50</v>
          </cell>
          <cell r="L24" t="str">
            <v>L(50)Eq</v>
          </cell>
          <cell r="M24" t="str">
            <v>○</v>
          </cell>
          <cell r="P24" t="str">
            <v>商品</v>
          </cell>
          <cell r="Q24" t="str">
            <v>メーカーコード</v>
          </cell>
        </row>
        <row r="25">
          <cell r="C25" t="str">
            <v>product_maker</v>
          </cell>
          <cell r="D25" t="str">
            <v>nvarchar</v>
          </cell>
          <cell r="E25">
            <v>400</v>
          </cell>
          <cell r="L25" t="str">
            <v>L(400)Eq</v>
          </cell>
          <cell r="M25" t="str">
            <v>○</v>
          </cell>
          <cell r="N25" t="str">
            <v>○</v>
          </cell>
          <cell r="O25" t="str">
            <v>キーワード
メーカー名</v>
          </cell>
          <cell r="P25" t="str">
            <v>商品</v>
          </cell>
          <cell r="Q25" t="str">
            <v>メーカー名</v>
          </cell>
          <cell r="R25" t="str">
            <v>IX_product_maker</v>
          </cell>
        </row>
        <row r="26">
          <cell r="C26" t="str">
            <v>product_brand</v>
          </cell>
          <cell r="D26" t="str">
            <v>nvarchar</v>
          </cell>
          <cell r="E26">
            <v>200</v>
          </cell>
          <cell r="L26" t="str">
            <v>L(200)Eq</v>
          </cell>
          <cell r="M26" t="str">
            <v>○</v>
          </cell>
          <cell r="P26" t="str">
            <v>商品</v>
          </cell>
          <cell r="Q26" t="str">
            <v>－</v>
          </cell>
        </row>
        <row r="27">
          <cell r="C27" t="str">
            <v>product_exp_1</v>
          </cell>
          <cell r="D27" t="str">
            <v>nvarchar</v>
          </cell>
          <cell r="E27">
            <v>255</v>
          </cell>
          <cell r="L27" t="str">
            <v>L(255)Eq</v>
          </cell>
          <cell r="M27" t="str">
            <v>○</v>
          </cell>
          <cell r="N27" t="str">
            <v>○</v>
          </cell>
          <cell r="O27" t="str">
            <v>コメント</v>
          </cell>
          <cell r="P27" t="str">
            <v>商品</v>
          </cell>
          <cell r="Q27" t="str">
            <v>商品説明（S）</v>
          </cell>
        </row>
        <row r="28">
          <cell r="C28" t="str">
            <v>product_exp_2</v>
          </cell>
          <cell r="D28" t="str">
            <v>nvarchar</v>
          </cell>
          <cell r="E28">
            <v>255</v>
          </cell>
          <cell r="L28" t="str">
            <v>L(255)Eq</v>
          </cell>
          <cell r="M28" t="str">
            <v>○</v>
          </cell>
          <cell r="N28" t="str">
            <v>○</v>
          </cell>
          <cell r="O28" t="str">
            <v>コメント</v>
          </cell>
          <cell r="P28" t="str">
            <v>商品</v>
          </cell>
          <cell r="Q28" t="str">
            <v>商品説明（L）</v>
          </cell>
        </row>
        <row r="29">
          <cell r="C29" t="str">
            <v>product_exp_3</v>
          </cell>
          <cell r="D29" t="str">
            <v>nvarchar</v>
          </cell>
          <cell r="E29">
            <v>255</v>
          </cell>
          <cell r="L29" t="str">
            <v>L(255)Eq</v>
          </cell>
          <cell r="M29" t="str">
            <v>○</v>
          </cell>
          <cell r="N29" t="str">
            <v>○</v>
          </cell>
          <cell r="O29" t="str">
            <v>コメント</v>
          </cell>
          <cell r="P29" t="str">
            <v>商品</v>
          </cell>
          <cell r="Q29" t="str">
            <v>商品説明（SPEC）</v>
          </cell>
        </row>
        <row r="30">
          <cell r="C30" t="str">
            <v>product_exp_4</v>
          </cell>
          <cell r="D30" t="str">
            <v>nvarchar</v>
          </cell>
          <cell r="E30">
            <v>255</v>
          </cell>
          <cell r="L30" t="str">
            <v>L(255)Eq</v>
          </cell>
          <cell r="M30" t="str">
            <v>○</v>
          </cell>
          <cell r="N30" t="str">
            <v>○</v>
          </cell>
          <cell r="O30" t="str">
            <v>コメント</v>
          </cell>
          <cell r="P30" t="str">
            <v>商品</v>
          </cell>
          <cell r="Q30" t="str">
            <v>商品説明（状態）</v>
          </cell>
        </row>
        <row r="31">
          <cell r="C31" t="str">
            <v>product_exp_5</v>
          </cell>
          <cell r="D31" t="str">
            <v>nvarchar</v>
          </cell>
          <cell r="E31">
            <v>255</v>
          </cell>
          <cell r="L31" t="str">
            <v>L(255)Eq</v>
          </cell>
          <cell r="M31" t="str">
            <v>○</v>
          </cell>
          <cell r="N31" t="str">
            <v>○</v>
          </cell>
          <cell r="O31" t="str">
            <v>コメント</v>
          </cell>
          <cell r="P31" t="str">
            <v>商品</v>
          </cell>
          <cell r="Q31" t="str">
            <v>商品説明（担当者コメント）</v>
          </cell>
        </row>
        <row r="32">
          <cell r="C32" t="str">
            <v>product_exp_6</v>
          </cell>
          <cell r="D32" t="str">
            <v>nvarchar</v>
          </cell>
          <cell r="E32">
            <v>255</v>
          </cell>
          <cell r="L32" t="str">
            <v>L(255)Eq</v>
          </cell>
          <cell r="M32" t="str">
            <v>○</v>
          </cell>
          <cell r="N32" t="str">
            <v>○</v>
          </cell>
          <cell r="O32" t="str">
            <v>コメント</v>
          </cell>
          <cell r="P32" t="str">
            <v>商品</v>
          </cell>
          <cell r="Q32" t="str">
            <v>商品説明（限定商品の在庫説明）</v>
          </cell>
        </row>
        <row r="33">
          <cell r="C33" t="str">
            <v>product_exp_7</v>
          </cell>
          <cell r="D33" t="str">
            <v>nvarchar</v>
          </cell>
          <cell r="E33">
            <v>255</v>
          </cell>
          <cell r="L33" t="str">
            <v>L(255)Eq</v>
          </cell>
          <cell r="M33" t="str">
            <v>○</v>
          </cell>
          <cell r="P33" t="str">
            <v>商品</v>
          </cell>
          <cell r="Q33" t="str">
            <v>－</v>
          </cell>
        </row>
        <row r="34">
          <cell r="C34" t="str">
            <v>product_exp_8</v>
          </cell>
          <cell r="D34" t="str">
            <v>nvarchar</v>
          </cell>
          <cell r="E34">
            <v>255</v>
          </cell>
          <cell r="L34" t="str">
            <v>L(255)Eq</v>
          </cell>
          <cell r="M34" t="str">
            <v>○</v>
          </cell>
          <cell r="P34" t="str">
            <v>商品</v>
          </cell>
          <cell r="Q34" t="str">
            <v>－</v>
          </cell>
        </row>
        <row r="35">
          <cell r="C35" t="str">
            <v>product_exp_9</v>
          </cell>
          <cell r="D35" t="str">
            <v>nvarchar</v>
          </cell>
          <cell r="E35">
            <v>255</v>
          </cell>
          <cell r="L35" t="str">
            <v>L(255)Eq</v>
          </cell>
          <cell r="M35" t="str">
            <v>○</v>
          </cell>
          <cell r="P35" t="str">
            <v>商品</v>
          </cell>
          <cell r="Q35" t="str">
            <v>－</v>
          </cell>
        </row>
        <row r="36">
          <cell r="C36" t="str">
            <v>product_exp_10</v>
          </cell>
          <cell r="D36" t="str">
            <v>nvarchar</v>
          </cell>
          <cell r="E36">
            <v>255</v>
          </cell>
          <cell r="L36" t="str">
            <v>L(255)Eq</v>
          </cell>
          <cell r="M36" t="str">
            <v>○</v>
          </cell>
          <cell r="P36" t="str">
            <v>商品</v>
          </cell>
          <cell r="Q36" t="str">
            <v>－</v>
          </cell>
        </row>
        <row r="37">
          <cell r="C37" t="str">
            <v>search_keywords</v>
          </cell>
          <cell r="D37" t="str">
            <v>text</v>
          </cell>
          <cell r="E37">
            <v>16</v>
          </cell>
          <cell r="L37" t="str">
            <v>L(500)Eq</v>
          </cell>
          <cell r="M37" t="str">
            <v>○</v>
          </cell>
          <cell r="N37" t="str">
            <v>○</v>
          </cell>
          <cell r="O37" t="str">
            <v>キーワード</v>
          </cell>
          <cell r="P37" t="str">
            <v>商品</v>
          </cell>
          <cell r="Q37" t="str">
            <v>検索キーワード</v>
          </cell>
        </row>
        <row r="38">
          <cell r="C38" t="str">
            <v>spec_info</v>
          </cell>
          <cell r="D38" t="str">
            <v>text</v>
          </cell>
          <cell r="E38">
            <v>16</v>
          </cell>
          <cell r="L38" t="str">
            <v>L(1000)Eq</v>
          </cell>
          <cell r="M38" t="str">
            <v>○</v>
          </cell>
          <cell r="N38" t="str">
            <v>○</v>
          </cell>
          <cell r="O38" t="str">
            <v>キーワード</v>
          </cell>
          <cell r="P38" t="str">
            <v>商品</v>
          </cell>
          <cell r="Q38" t="str">
            <v>スペック</v>
          </cell>
          <cell r="S38" t="str">
            <v>値のInnerTextのみセット</v>
          </cell>
        </row>
        <row r="39">
          <cell r="C39" t="str">
            <v>sale_price</v>
          </cell>
          <cell r="D39" t="str">
            <v>int</v>
          </cell>
          <cell r="E39">
            <v>4</v>
          </cell>
          <cell r="L39" t="str">
            <v>0Eq</v>
          </cell>
          <cell r="O39" t="str">
            <v>価格</v>
          </cell>
          <cell r="P39" t="str">
            <v>商品</v>
          </cell>
          <cell r="Q39" t="str">
            <v>実売価格</v>
          </cell>
          <cell r="R39" t="str">
            <v>IX_sale_price</v>
          </cell>
          <cell r="S39" t="str">
            <v>単品：単価
セット：セット価格（子の合計）</v>
          </cell>
        </row>
        <row r="40">
          <cell r="C40" t="str">
            <v>sale_price_disp</v>
          </cell>
          <cell r="D40" t="str">
            <v>nvarchar</v>
          </cell>
          <cell r="E40">
            <v>80</v>
          </cell>
          <cell r="L40" t="str">
            <v>L(80)Eq</v>
          </cell>
          <cell r="P40" t="str">
            <v>商品</v>
          </cell>
          <cell r="Q40" t="str">
            <v>－</v>
          </cell>
        </row>
        <row r="41">
          <cell r="C41" t="str">
            <v>tax_include</v>
          </cell>
          <cell r="D41" t="str">
            <v>varchar</v>
          </cell>
          <cell r="E41">
            <v>40</v>
          </cell>
          <cell r="L41" t="str">
            <v>L(40)Eq</v>
          </cell>
          <cell r="P41" t="str">
            <v>商品</v>
          </cell>
          <cell r="Q41" t="str">
            <v>外内税区分</v>
          </cell>
        </row>
        <row r="42">
          <cell r="C42" t="str">
            <v>set_flg</v>
          </cell>
          <cell r="D42" t="str">
            <v>varchar</v>
          </cell>
          <cell r="E42">
            <v>40</v>
          </cell>
          <cell r="L42" t="str">
            <v>L(40)S[SET,WAGON]Eq</v>
          </cell>
          <cell r="P42" t="str">
            <v>商品</v>
          </cell>
          <cell r="Q42" t="str">
            <v>セット商品フラグ</v>
          </cell>
          <cell r="S42" t="str">
            <v>ＳＥＴ：セット親
SET_ONLY：セットの子のみ</v>
          </cell>
          <cell r="T42" t="str">
            <v/>
          </cell>
        </row>
        <row r="43">
          <cell r="C43" t="str">
            <v>point_define_id</v>
          </cell>
          <cell r="D43" t="str">
            <v>varchar</v>
          </cell>
          <cell r="E43">
            <v>40</v>
          </cell>
          <cell r="L43" t="str">
            <v>L(40)Eq</v>
          </cell>
          <cell r="R43" t="str">
            <v>&lt;point_define_id name="ポイント付与ルール" /&gt;</v>
          </cell>
          <cell r="S43" t="str">
            <v>&lt;point_define_id name="ポイント付与ルール" cmd="L(40)Eq"&gt;&lt;![CDATA[[$$ Request#point_define_id $$]]]&gt;&lt;/point_define_id&gt;</v>
          </cell>
        </row>
        <row r="44">
          <cell r="C44" t="str">
            <v>point_rule</v>
          </cell>
          <cell r="D44" t="str">
            <v>varchar</v>
          </cell>
          <cell r="E44">
            <v>40</v>
          </cell>
          <cell r="L44" t="str">
            <v>L(40)Eq</v>
          </cell>
          <cell r="R44" t="str">
            <v>&lt;point_rule name="ポイント付与タイミング" /&gt;</v>
          </cell>
          <cell r="S44" t="str">
            <v>&lt;point_rule name="ポイント付与タイミング" cmd="L(40)Eq"&gt;&lt;![CDATA[[$$ Request#point_rule $$]]]&gt;&lt;/point_rule&gt;</v>
          </cell>
        </row>
        <row r="45">
          <cell r="C45" t="str">
            <v>site_point</v>
          </cell>
          <cell r="D45" t="str">
            <v>int</v>
          </cell>
          <cell r="E45">
            <v>4</v>
          </cell>
          <cell r="G45" t="str">
            <v>(0)</v>
          </cell>
          <cell r="L45" t="str">
            <v>0Eq</v>
          </cell>
          <cell r="P45" t="str">
            <v>商品</v>
          </cell>
          <cell r="Q45" t="str">
            <v>－</v>
          </cell>
        </row>
        <row r="46">
          <cell r="C46" t="str">
            <v>site_point_rate</v>
          </cell>
          <cell r="D46" t="str">
            <v>int</v>
          </cell>
          <cell r="E46">
            <v>4</v>
          </cell>
          <cell r="G46" t="str">
            <v>(0)</v>
          </cell>
          <cell r="L46" t="str">
            <v>0Eq</v>
          </cell>
          <cell r="P46" t="str">
            <v>商品</v>
          </cell>
          <cell r="Q46" t="str">
            <v>－</v>
          </cell>
        </row>
        <row r="47">
          <cell r="C47" t="str">
            <v>dept_point</v>
          </cell>
          <cell r="D47" t="str">
            <v>int</v>
          </cell>
          <cell r="E47">
            <v>4</v>
          </cell>
          <cell r="G47" t="str">
            <v>(0)</v>
          </cell>
          <cell r="L47" t="str">
            <v>0Eq</v>
          </cell>
          <cell r="P47" t="str">
            <v>商品・分類</v>
          </cell>
          <cell r="Q47" t="str">
            <v>ポイント</v>
          </cell>
          <cell r="S47" t="str">
            <v>単品：取得ポイント
セット：セットの取得ポイント（親子の合計）</v>
          </cell>
        </row>
        <row r="48">
          <cell r="C48" t="str">
            <v>dept_point_rate</v>
          </cell>
          <cell r="D48" t="str">
            <v>int</v>
          </cell>
          <cell r="E48">
            <v>4</v>
          </cell>
          <cell r="G48" t="str">
            <v>(0)</v>
          </cell>
          <cell r="L48" t="str">
            <v>0Eq</v>
          </cell>
          <cell r="P48" t="str">
            <v>商品・分類</v>
          </cell>
          <cell r="Q48" t="str">
            <v>ポイント率</v>
          </cell>
        </row>
        <row r="49">
          <cell r="C49" t="str">
            <v>stock_disp_type_id</v>
          </cell>
          <cell r="D49" t="str">
            <v>nvarchar</v>
          </cell>
          <cell r="E49">
            <v>16</v>
          </cell>
          <cell r="L49" t="str">
            <v>L(32)Eq</v>
          </cell>
          <cell r="P49" t="str">
            <v>商品</v>
          </cell>
          <cell r="Q49" t="str">
            <v>在庫表示タイプ</v>
          </cell>
          <cell r="T49" t="str">
            <v>例１）○×△　例２）50　在庫表示DLLで制御</v>
          </cell>
        </row>
        <row r="50">
          <cell r="C50" t="str">
            <v>stock_disp</v>
          </cell>
          <cell r="D50" t="str">
            <v>nvarchar</v>
          </cell>
          <cell r="E50">
            <v>255</v>
          </cell>
          <cell r="L50" t="str">
            <v>L(255)Eq</v>
          </cell>
          <cell r="P50" t="str">
            <v>編集</v>
          </cell>
          <cell r="Q50" t="str">
            <v>例：「あとｎ個」など</v>
          </cell>
          <cell r="T50" t="str">
            <v>例１）○×△　例２）50　在庫表示DLLで制御</v>
          </cell>
        </row>
        <row r="51">
          <cell r="C51" t="str">
            <v>stock_disp_id</v>
          </cell>
          <cell r="D51" t="str">
            <v>varchar</v>
          </cell>
          <cell r="E51">
            <v>40</v>
          </cell>
          <cell r="L51" t="str">
            <v>L(40)Eq</v>
          </cell>
          <cell r="P51" t="str">
            <v>編集</v>
          </cell>
          <cell r="Q51" t="str">
            <v>在庫表示ID
これをもとに在庫状況をアイコン表示する
例：「取引先在庫あり」</v>
          </cell>
        </row>
        <row r="52">
          <cell r="C52" t="str">
            <v>delivery_type</v>
          </cell>
          <cell r="D52" t="str">
            <v>varchar</v>
          </cell>
          <cell r="E52">
            <v>16</v>
          </cell>
          <cell r="P52" t="str">
            <v>商品</v>
          </cell>
          <cell r="Q52" t="str">
            <v>配送種別</v>
          </cell>
        </row>
        <row r="53">
          <cell r="C53" t="str">
            <v>basket_stock_limit</v>
          </cell>
          <cell r="D53" t="str">
            <v>int</v>
          </cell>
          <cell r="E53">
            <v>4</v>
          </cell>
          <cell r="G53">
            <v>0</v>
          </cell>
          <cell r="L53" t="str">
            <v>0Eq</v>
          </cell>
          <cell r="P53" t="str">
            <v>在庫</v>
          </cell>
          <cell r="Q53" t="str">
            <v>買物かご在庫基準値</v>
          </cell>
          <cell r="T53" t="str">
            <v>買物かご追加時在庫マイナス用</v>
          </cell>
        </row>
        <row r="54">
          <cell r="C54" t="str">
            <v>order_stock_limit</v>
          </cell>
          <cell r="D54" t="str">
            <v>int</v>
          </cell>
          <cell r="E54">
            <v>4</v>
          </cell>
          <cell r="G54">
            <v>0</v>
          </cell>
          <cell r="L54" t="str">
            <v>0Eq</v>
          </cell>
          <cell r="P54" t="str">
            <v>在庫</v>
          </cell>
          <cell r="Q54" t="str">
            <v>注文在庫基準値</v>
          </cell>
          <cell r="T54" t="str">
            <v>顧客清算時在庫マイナス用</v>
          </cell>
        </row>
        <row r="55">
          <cell r="C55" t="str">
            <v>order_confirm_stock_limit</v>
          </cell>
          <cell r="D55" t="str">
            <v>int</v>
          </cell>
          <cell r="E55">
            <v>4</v>
          </cell>
          <cell r="G55">
            <v>0</v>
          </cell>
          <cell r="L55" t="str">
            <v>0Eq</v>
          </cell>
          <cell r="P55" t="str">
            <v>在庫</v>
          </cell>
          <cell r="Q55" t="str">
            <v>受注確認在庫基準値</v>
          </cell>
          <cell r="T55" t="str">
            <v>サプライヤ受付時在庫マイナス用</v>
          </cell>
        </row>
        <row r="56">
          <cell r="C56" t="str">
            <v>stock_limit</v>
          </cell>
          <cell r="D56" t="str">
            <v>int</v>
          </cell>
          <cell r="E56">
            <v>4</v>
          </cell>
          <cell r="G56">
            <v>0</v>
          </cell>
          <cell r="L56" t="str">
            <v>0Eq</v>
          </cell>
          <cell r="P56" t="str">
            <v>在庫</v>
          </cell>
          <cell r="Q56" t="str">
            <v>出荷後在庫基準値</v>
          </cell>
          <cell r="T56" t="str">
            <v>配送時在庫マイナス用</v>
          </cell>
        </row>
        <row r="57">
          <cell r="C57" t="str">
            <v>basket_stock_amount</v>
          </cell>
          <cell r="D57" t="str">
            <v>int</v>
          </cell>
          <cell r="E57">
            <v>4</v>
          </cell>
          <cell r="G57">
            <v>0</v>
          </cell>
          <cell r="L57" t="str">
            <v>0Eq</v>
          </cell>
          <cell r="P57" t="str">
            <v>在庫</v>
          </cell>
          <cell r="Q57" t="str">
            <v>買物かご在庫数</v>
          </cell>
          <cell r="T57" t="str">
            <v>買物かご追加時在庫マイナス用</v>
          </cell>
        </row>
        <row r="58">
          <cell r="C58" t="str">
            <v>order_stock_amount</v>
          </cell>
          <cell r="D58" t="str">
            <v>int</v>
          </cell>
          <cell r="E58">
            <v>4</v>
          </cell>
          <cell r="G58">
            <v>0</v>
          </cell>
          <cell r="L58" t="str">
            <v>0Eq</v>
          </cell>
          <cell r="P58" t="str">
            <v>在庫</v>
          </cell>
          <cell r="Q58" t="str">
            <v>注文在庫数</v>
          </cell>
          <cell r="T58" t="str">
            <v>顧客清算時在庫マイナス用</v>
          </cell>
        </row>
        <row r="59">
          <cell r="C59" t="str">
            <v>order_confirm_stock_amount</v>
          </cell>
          <cell r="D59" t="str">
            <v>int</v>
          </cell>
          <cell r="E59">
            <v>4</v>
          </cell>
          <cell r="G59">
            <v>0</v>
          </cell>
          <cell r="L59" t="str">
            <v>0Eq</v>
          </cell>
          <cell r="P59" t="str">
            <v>在庫</v>
          </cell>
          <cell r="Q59" t="str">
            <v>受注確認在庫数</v>
          </cell>
          <cell r="T59" t="str">
            <v>サプライヤ受付時在庫マイナス用</v>
          </cell>
        </row>
        <row r="60">
          <cell r="C60" t="str">
            <v>stock_amount</v>
          </cell>
          <cell r="D60" t="str">
            <v>int</v>
          </cell>
          <cell r="E60">
            <v>4</v>
          </cell>
          <cell r="L60" t="str">
            <v>0Eq</v>
          </cell>
          <cell r="P60" t="str">
            <v>在庫</v>
          </cell>
          <cell r="Q60" t="str">
            <v>出荷後在庫数</v>
          </cell>
          <cell r="T60" t="str">
            <v>配送時在庫マイナス用</v>
          </cell>
        </row>
        <row r="61">
          <cell r="C61" t="str">
            <v>active_flg</v>
          </cell>
          <cell r="D61" t="str">
            <v>nvarchar</v>
          </cell>
          <cell r="E61">
            <v>40</v>
          </cell>
          <cell r="L61" t="str">
            <v>L(40)S[ON,OFF]Eq</v>
          </cell>
          <cell r="P61" t="str">
            <v>在庫</v>
          </cell>
          <cell r="Q61" t="str">
            <v>在庫管理フラグ</v>
          </cell>
          <cell r="T61" t="str">
            <v>在庫管理フラグ(在庫管理する･･･"ON"　しない･･･"OFF")</v>
          </cell>
        </row>
        <row r="62">
          <cell r="C62" t="str">
            <v>date_created</v>
          </cell>
          <cell r="D62" t="str">
            <v>datetime</v>
          </cell>
          <cell r="E62">
            <v>8</v>
          </cell>
          <cell r="G62" t="str">
            <v>getdate()</v>
          </cell>
          <cell r="L62" t="str">
            <v>Eq</v>
          </cell>
          <cell r="P62" t="str">
            <v>自動</v>
          </cell>
          <cell r="Q62" t="str">
            <v>作成日</v>
          </cell>
        </row>
        <row r="63">
          <cell r="C63" t="str">
            <v>date_changed</v>
          </cell>
          <cell r="D63" t="str">
            <v>datetime</v>
          </cell>
          <cell r="E63">
            <v>8</v>
          </cell>
          <cell r="G63" t="str">
            <v>getdate()</v>
          </cell>
          <cell r="L63" t="str">
            <v>Eq</v>
          </cell>
          <cell r="P63" t="str">
            <v>自動</v>
          </cell>
          <cell r="Q63" t="str">
            <v>更新日</v>
          </cell>
        </row>
        <row r="64">
          <cell r="C64" t="str">
            <v>sale_term_from</v>
          </cell>
          <cell r="D64" t="str">
            <v>varchar</v>
          </cell>
          <cell r="E64">
            <v>20</v>
          </cell>
          <cell r="L64" t="str">
            <v>L(20)Eq</v>
          </cell>
          <cell r="P64" t="str">
            <v>商品</v>
          </cell>
          <cell r="Q64" t="str">
            <v>販売期間（FROM）</v>
          </cell>
        </row>
        <row r="65">
          <cell r="C65" t="str">
            <v>sale_term_to</v>
          </cell>
          <cell r="D65" t="str">
            <v>varchar</v>
          </cell>
          <cell r="E65">
            <v>20</v>
          </cell>
          <cell r="L65" t="str">
            <v>L(20)Eq</v>
          </cell>
          <cell r="P65" t="str">
            <v>商品</v>
          </cell>
          <cell r="Q65" t="str">
            <v>販売期間（TO）</v>
          </cell>
        </row>
        <row r="66">
          <cell r="C66" t="str">
            <v>sale_date</v>
          </cell>
          <cell r="D66" t="str">
            <v>varchar</v>
          </cell>
          <cell r="E66">
            <v>20</v>
          </cell>
          <cell r="L66" t="str">
            <v>L(20)Eq</v>
          </cell>
          <cell r="O66" t="str">
            <v>発売日</v>
          </cell>
          <cell r="P66" t="str">
            <v>商品</v>
          </cell>
          <cell r="Q66" t="str">
            <v>発売日</v>
          </cell>
          <cell r="T66" t="str">
            <v>YYYYMMDDHHMMSSのStringでセット</v>
          </cell>
        </row>
        <row r="67">
          <cell r="C67" t="str">
            <v>sale_date_disp</v>
          </cell>
          <cell r="D67" t="str">
            <v>nvarchar</v>
          </cell>
          <cell r="E67">
            <v>100</v>
          </cell>
          <cell r="L67" t="str">
            <v>L(100)Eq</v>
          </cell>
          <cell r="P67" t="str">
            <v>商品</v>
          </cell>
          <cell r="Q67" t="str">
            <v>「近日発売」などの文言をセット</v>
          </cell>
        </row>
        <row r="68">
          <cell r="C68" t="str">
            <v>disp_priority</v>
          </cell>
          <cell r="P68" t="str">
            <v>商品</v>
          </cell>
          <cell r="Q68" t="str">
            <v>表示優先度</v>
          </cell>
        </row>
        <row r="69">
          <cell r="C69" t="str">
            <v>recycling_flag</v>
          </cell>
          <cell r="D69" t="str">
            <v>varchar</v>
          </cell>
          <cell r="E69">
            <v>40</v>
          </cell>
          <cell r="L69" t="str">
            <v>L(40)S[USED]Eq</v>
          </cell>
          <cell r="P69" t="str">
            <v>商品</v>
          </cell>
          <cell r="Q69" t="str">
            <v>中古区分</v>
          </cell>
          <cell r="T69" t="str">
            <v>中古：USED</v>
          </cell>
        </row>
        <row r="70">
          <cell r="C70" t="str">
            <v>digital_flg</v>
          </cell>
          <cell r="D70" t="str">
            <v>varchar</v>
          </cell>
          <cell r="E70">
            <v>16</v>
          </cell>
          <cell r="L70" t="str">
            <v>L(16)Eq</v>
          </cell>
          <cell r="P70" t="str">
            <v>商品</v>
          </cell>
          <cell r="Q70" t="str">
            <v>ＥＳＤ区分</v>
          </cell>
          <cell r="T70" t="str">
            <v>ＥＳＤ区分</v>
          </cell>
        </row>
        <row r="71">
          <cell r="C71" t="str">
            <v>library_flg</v>
          </cell>
          <cell r="D71" t="str">
            <v>varchar</v>
          </cell>
          <cell r="E71">
            <v>16</v>
          </cell>
          <cell r="L71" t="str">
            <v>L(16)Eq</v>
          </cell>
          <cell r="P71" t="str">
            <v>商品</v>
          </cell>
          <cell r="Q71" t="str">
            <v>－</v>
          </cell>
        </row>
        <row r="72">
          <cell r="C72" t="str">
            <v>sale_flg</v>
          </cell>
          <cell r="D72" t="str">
            <v>varchar</v>
          </cell>
          <cell r="E72">
            <v>16</v>
          </cell>
          <cell r="L72" t="str">
            <v>L(16)Eq</v>
          </cell>
          <cell r="P72" t="str">
            <v>商品</v>
          </cell>
          <cell r="Q72" t="str">
            <v xml:space="preserve">販売可否区分
</v>
          </cell>
          <cell r="T72" t="str">
            <v>販売中：OPEN　販売中止：CLOSE　販売保留：SHOW</v>
          </cell>
        </row>
        <row r="73">
          <cell r="C73" t="str">
            <v>promotion_goods_flg</v>
          </cell>
          <cell r="D73" t="str">
            <v>varchar</v>
          </cell>
          <cell r="E73">
            <v>40</v>
          </cell>
          <cell r="L73" t="str">
            <v>L(40)Eq</v>
          </cell>
          <cell r="P73" t="str">
            <v>計算</v>
          </cell>
          <cell r="Q73" t="str">
            <v>－</v>
          </cell>
        </row>
        <row r="74">
          <cell r="C74" t="str">
            <v>sales_count</v>
          </cell>
          <cell r="D74" t="str">
            <v>int</v>
          </cell>
          <cell r="E74">
            <v>4</v>
          </cell>
          <cell r="L74" t="str">
            <v>0Eq</v>
          </cell>
          <cell r="P74" t="str">
            <v>計算</v>
          </cell>
          <cell r="Q74" t="str">
            <v>売り上げ商品数（日）</v>
          </cell>
          <cell r="T74" t="str">
            <v>売れている数。受注明細からバッチで値を格納。</v>
          </cell>
        </row>
        <row r="75">
          <cell r="C75" t="str">
            <v>sales_price_amount</v>
          </cell>
          <cell r="D75" t="str">
            <v>bigint</v>
          </cell>
          <cell r="E75">
            <v>8</v>
          </cell>
          <cell r="L75" t="str">
            <v>0Eq</v>
          </cell>
          <cell r="P75" t="str">
            <v>計算</v>
          </cell>
          <cell r="Q75" t="str">
            <v>売り上げ金額（日）</v>
          </cell>
          <cell r="T75" t="str">
            <v>売り上げ総金額</v>
          </cell>
        </row>
        <row r="76">
          <cell r="C76" t="str">
            <v>sales_count2</v>
          </cell>
          <cell r="D76" t="str">
            <v>int</v>
          </cell>
          <cell r="E76">
            <v>4</v>
          </cell>
          <cell r="L76" t="str">
            <v>0Eq</v>
          </cell>
          <cell r="P76" t="str">
            <v>計算</v>
          </cell>
          <cell r="Q76" t="str">
            <v>売り上げ商品数２（週）</v>
          </cell>
          <cell r="T76" t="str">
            <v>売れている数。受注明細からバッチで値を格納。</v>
          </cell>
        </row>
        <row r="77">
          <cell r="C77" t="str">
            <v>sales_price_amount2</v>
          </cell>
          <cell r="D77" t="str">
            <v>bigint</v>
          </cell>
          <cell r="E77">
            <v>8</v>
          </cell>
          <cell r="L77" t="str">
            <v>0Eq</v>
          </cell>
          <cell r="P77" t="str">
            <v>計算</v>
          </cell>
          <cell r="Q77" t="str">
            <v>売り上げ金額２（週）</v>
          </cell>
          <cell r="T77" t="str">
            <v>売り上げ総金額</v>
          </cell>
        </row>
        <row r="78">
          <cell r="C78" t="str">
            <v>sales_count3</v>
          </cell>
          <cell r="D78" t="str">
            <v>int</v>
          </cell>
          <cell r="E78">
            <v>4</v>
          </cell>
          <cell r="L78" t="str">
            <v>0Eq</v>
          </cell>
          <cell r="P78" t="str">
            <v>計算</v>
          </cell>
          <cell r="Q78" t="str">
            <v>売り上げ商品数３（月）</v>
          </cell>
          <cell r="T78" t="str">
            <v>売れている数。受注明細からバッチで値を格納。</v>
          </cell>
        </row>
        <row r="79">
          <cell r="C79" t="str">
            <v>sales_price_amount3</v>
          </cell>
          <cell r="D79" t="str">
            <v>bigint</v>
          </cell>
          <cell r="E79">
            <v>8</v>
          </cell>
          <cell r="L79" t="str">
            <v>0Eq</v>
          </cell>
          <cell r="P79" t="str">
            <v>計算</v>
          </cell>
          <cell r="Q79" t="str">
            <v>売り上げ金額３（月）</v>
          </cell>
          <cell r="T79" t="str">
            <v>売り上げ総金額</v>
          </cell>
        </row>
        <row r="80">
          <cell r="C80" t="str">
            <v>sales_count4</v>
          </cell>
          <cell r="D80" t="str">
            <v>int</v>
          </cell>
          <cell r="E80">
            <v>4</v>
          </cell>
          <cell r="L80" t="str">
            <v>0Eq</v>
          </cell>
          <cell r="P80" t="str">
            <v>計算</v>
          </cell>
          <cell r="Q80" t="str">
            <v>－</v>
          </cell>
          <cell r="T80" t="str">
            <v>売れている数。受注明細からバッチで値を格納。</v>
          </cell>
        </row>
        <row r="81">
          <cell r="C81" t="str">
            <v>sales_price_amount4</v>
          </cell>
          <cell r="D81" t="str">
            <v>bigint</v>
          </cell>
          <cell r="E81">
            <v>8</v>
          </cell>
          <cell r="L81" t="str">
            <v>0Eq</v>
          </cell>
          <cell r="P81" t="str">
            <v>計算</v>
          </cell>
          <cell r="Q81" t="str">
            <v>－</v>
          </cell>
          <cell r="T81" t="str">
            <v>売り上げ総金額</v>
          </cell>
        </row>
        <row r="82">
          <cell r="C82" t="str">
            <v>sales_count5</v>
          </cell>
          <cell r="D82" t="str">
            <v>int</v>
          </cell>
          <cell r="E82">
            <v>4</v>
          </cell>
          <cell r="L82" t="str">
            <v>0Eq</v>
          </cell>
          <cell r="P82" t="str">
            <v>計算</v>
          </cell>
          <cell r="Q82" t="str">
            <v>－</v>
          </cell>
          <cell r="T82" t="str">
            <v>売れている数。受注明細からバッチで値を格納。</v>
          </cell>
        </row>
        <row r="83">
          <cell r="C83" t="str">
            <v>sales_price_amount5</v>
          </cell>
          <cell r="D83" t="str">
            <v>bigint</v>
          </cell>
          <cell r="E83">
            <v>8</v>
          </cell>
          <cell r="L83" t="str">
            <v>0Eq</v>
          </cell>
          <cell r="P83" t="str">
            <v>計算</v>
          </cell>
          <cell r="Q83" t="str">
            <v>－</v>
          </cell>
          <cell r="T83" t="str">
            <v>売り上げ総金額</v>
          </cell>
        </row>
        <row r="84">
          <cell r="C84" t="str">
            <v>sales_history_info</v>
          </cell>
          <cell r="D84" t="str">
            <v>text</v>
          </cell>
          <cell r="E84">
            <v>16</v>
          </cell>
          <cell r="L84" t="str">
            <v>Eq</v>
          </cell>
          <cell r="P84" t="str">
            <v>計算</v>
          </cell>
          <cell r="Q84" t="str">
            <v>売上げ履歴</v>
          </cell>
        </row>
        <row r="85">
          <cell r="C85" t="str">
            <v>variation_flg</v>
          </cell>
          <cell r="D85" t="str">
            <v>varchar</v>
          </cell>
          <cell r="E85">
            <v>16</v>
          </cell>
          <cell r="L85" t="str">
            <v>L(16)S[V]Eq</v>
          </cell>
          <cell r="P85" t="str">
            <v>商品</v>
          </cell>
          <cell r="Q85" t="str">
            <v>－</v>
          </cell>
          <cell r="T85" t="str">
            <v>バリエーションは本マスターにて管理
（１商品５バリーションの場合は本マスターに６レコード）
バリエーションあり：V　なし：空白</v>
          </cell>
        </row>
        <row r="86">
          <cell r="C86" t="str">
            <v>variation_parent_sku</v>
          </cell>
          <cell r="D86" t="str">
            <v>varchar</v>
          </cell>
          <cell r="E86">
            <v>40</v>
          </cell>
          <cell r="L86" t="str">
            <v>L(40)Eq</v>
          </cell>
          <cell r="P86" t="str">
            <v>商品</v>
          </cell>
          <cell r="Q86" t="str">
            <v>－</v>
          </cell>
          <cell r="T86" t="str">
            <v>バリエーションの子商品の場合、親商品SKUを入れておく</v>
          </cell>
        </row>
        <row r="87">
          <cell r="C87" t="str">
            <v>product_code_1</v>
          </cell>
          <cell r="D87" t="str">
            <v>varchar</v>
          </cell>
          <cell r="E87">
            <v>40</v>
          </cell>
          <cell r="L87" t="str">
            <v>L(40)Eq</v>
          </cell>
          <cell r="O87" t="str">
            <v>JANコード・商品番号</v>
          </cell>
          <cell r="P87" t="str">
            <v>商品</v>
          </cell>
          <cell r="Q87" t="str">
            <v>JANコード</v>
          </cell>
          <cell r="R87" t="str">
            <v>IX_product_code_1</v>
          </cell>
        </row>
        <row r="88">
          <cell r="C88" t="str">
            <v>product_code_2</v>
          </cell>
          <cell r="D88" t="str">
            <v>varchar</v>
          </cell>
          <cell r="E88">
            <v>40</v>
          </cell>
          <cell r="L88" t="str">
            <v>L(40)Eq</v>
          </cell>
          <cell r="O88" t="str">
            <v>商品名・型番</v>
          </cell>
          <cell r="P88" t="str">
            <v>商品</v>
          </cell>
          <cell r="Q88" t="str">
            <v>型番</v>
          </cell>
        </row>
        <row r="89">
          <cell r="C89" t="str">
            <v>product_picture_path_1</v>
          </cell>
          <cell r="D89" t="str">
            <v>nvarchar</v>
          </cell>
          <cell r="E89">
            <v>255</v>
          </cell>
          <cell r="L89" t="str">
            <v>L(255)Eq</v>
          </cell>
          <cell r="P89" t="str">
            <v>商品</v>
          </cell>
          <cell r="Q89" t="str">
            <v>商品画像パス１（リスト）</v>
          </cell>
        </row>
        <row r="90">
          <cell r="C90" t="str">
            <v>product_picture_path_2</v>
          </cell>
          <cell r="D90" t="str">
            <v>nvarchar</v>
          </cell>
          <cell r="E90">
            <v>255</v>
          </cell>
          <cell r="L90" t="str">
            <v>L(255)Eq</v>
          </cell>
          <cell r="P90" t="str">
            <v>商品</v>
          </cell>
          <cell r="Q90" t="str">
            <v>商品画像パス２（足跡）</v>
          </cell>
        </row>
        <row r="91">
          <cell r="C91" t="str">
            <v>product_picture_path_3</v>
          </cell>
          <cell r="D91" t="str">
            <v>nvarchar</v>
          </cell>
          <cell r="E91">
            <v>255</v>
          </cell>
          <cell r="L91" t="str">
            <v>L(255)Eq</v>
          </cell>
          <cell r="P91" t="str">
            <v>商品</v>
          </cell>
          <cell r="Q91" t="str">
            <v>商品画像パス３（詳細）</v>
          </cell>
        </row>
        <row r="92">
          <cell r="C92" t="str">
            <v>product_picture_path_4</v>
          </cell>
          <cell r="D92" t="str">
            <v>nvarchar</v>
          </cell>
          <cell r="E92">
            <v>255</v>
          </cell>
          <cell r="L92" t="str">
            <v>L(255)Eq</v>
          </cell>
          <cell r="P92" t="str">
            <v>商品</v>
          </cell>
          <cell r="Q92" t="str">
            <v>－</v>
          </cell>
        </row>
        <row r="93">
          <cell r="C93" t="str">
            <v>product_picture_path_5</v>
          </cell>
          <cell r="D93" t="str">
            <v>nvarchar</v>
          </cell>
          <cell r="E93">
            <v>255</v>
          </cell>
          <cell r="L93" t="str">
            <v>L(255)Eq</v>
          </cell>
          <cell r="P93" t="str">
            <v>商品</v>
          </cell>
          <cell r="Q93" t="str">
            <v>－</v>
          </cell>
        </row>
        <row r="94">
          <cell r="C94" t="str">
            <v>product_picture_path_6</v>
          </cell>
          <cell r="D94" t="str">
            <v>nvarchar</v>
          </cell>
          <cell r="E94">
            <v>255</v>
          </cell>
          <cell r="L94" t="str">
            <v>L(255)Eq</v>
          </cell>
          <cell r="P94" t="str">
            <v>商品</v>
          </cell>
          <cell r="Q94" t="str">
            <v>－</v>
          </cell>
        </row>
        <row r="95">
          <cell r="C95" t="str">
            <v>product_picture_path_7</v>
          </cell>
          <cell r="D95" t="str">
            <v>nvarchar</v>
          </cell>
          <cell r="E95">
            <v>255</v>
          </cell>
          <cell r="L95" t="str">
            <v>L(255)Eq</v>
          </cell>
          <cell r="P95" t="str">
            <v>商品</v>
          </cell>
          <cell r="Q95" t="str">
            <v>－</v>
          </cell>
        </row>
        <row r="96">
          <cell r="C96" t="str">
            <v>product_picture_path_8</v>
          </cell>
          <cell r="D96" t="str">
            <v>nvarchar</v>
          </cell>
          <cell r="E96">
            <v>255</v>
          </cell>
          <cell r="L96" t="str">
            <v>L(255)Eq</v>
          </cell>
          <cell r="P96" t="str">
            <v>商品</v>
          </cell>
          <cell r="Q96" t="str">
            <v>－</v>
          </cell>
        </row>
        <row r="97">
          <cell r="C97" t="str">
            <v>product_picture_path_9</v>
          </cell>
          <cell r="D97" t="str">
            <v>nvarchar</v>
          </cell>
          <cell r="E97">
            <v>255</v>
          </cell>
          <cell r="L97" t="str">
            <v>L(255)Eq</v>
          </cell>
          <cell r="P97" t="str">
            <v>商品</v>
          </cell>
          <cell r="Q97" t="str">
            <v>－</v>
          </cell>
        </row>
        <row r="98">
          <cell r="C98" t="str">
            <v>product_picture_path_10</v>
          </cell>
          <cell r="D98" t="str">
            <v>nvarchar</v>
          </cell>
          <cell r="E98">
            <v>255</v>
          </cell>
          <cell r="L98" t="str">
            <v>L(255)Eq</v>
          </cell>
          <cell r="P98" t="str">
            <v>商品</v>
          </cell>
          <cell r="Q98" t="str">
            <v>その他画像表示
（カンマ区切り）</v>
          </cell>
        </row>
        <row r="99">
          <cell r="C99" t="str">
            <v>property1</v>
          </cell>
          <cell r="D99" t="str">
            <v>nvarchar</v>
          </cell>
          <cell r="E99">
            <v>100</v>
          </cell>
          <cell r="L99" t="str">
            <v>L(100)Eq</v>
          </cell>
          <cell r="P99" t="str">
            <v>商品</v>
          </cell>
          <cell r="Q99" t="str">
            <v>アイコン情報</v>
          </cell>
          <cell r="T99" t="str">
            <v>アイコン種類に紐づく画像パスはフロントで管理</v>
          </cell>
        </row>
        <row r="100">
          <cell r="C100" t="str">
            <v>property2</v>
          </cell>
          <cell r="D100" t="str">
            <v>nvarchar</v>
          </cell>
          <cell r="E100">
            <v>100</v>
          </cell>
          <cell r="L100" t="str">
            <v>L(100)Eq</v>
          </cell>
          <cell r="P100" t="str">
            <v>商品</v>
          </cell>
          <cell r="Q100" t="str">
            <v>ワランティコード</v>
          </cell>
        </row>
        <row r="101">
          <cell r="C101" t="str">
            <v>property3</v>
          </cell>
          <cell r="D101" t="str">
            <v>nvarchar</v>
          </cell>
          <cell r="E101">
            <v>100</v>
          </cell>
          <cell r="L101" t="str">
            <v>L(100)Eq</v>
          </cell>
          <cell r="P101" t="str">
            <v>商品</v>
          </cell>
          <cell r="Q101" t="str">
            <v>ワランティ有効フラグ</v>
          </cell>
          <cell r="T101" t="str">
            <v>ACTIVE：有効
(Empty)：無効</v>
          </cell>
        </row>
        <row r="102">
          <cell r="C102" t="str">
            <v>status1</v>
          </cell>
          <cell r="D102" t="str">
            <v>nvarchar</v>
          </cell>
          <cell r="E102">
            <v>100</v>
          </cell>
          <cell r="L102" t="str">
            <v>L(100)Eq</v>
          </cell>
          <cell r="P102" t="str">
            <v>商品</v>
          </cell>
          <cell r="Q102" t="str">
            <v>販促品区分</v>
          </cell>
        </row>
        <row r="103">
          <cell r="C103" t="str">
            <v>status2</v>
          </cell>
          <cell r="D103" t="str">
            <v>nvarchar</v>
          </cell>
          <cell r="E103">
            <v>100</v>
          </cell>
          <cell r="L103" t="str">
            <v>L(100)Eq</v>
          </cell>
          <cell r="P103" t="str">
            <v>商品</v>
          </cell>
          <cell r="Q103" t="str">
            <v>ＡＳ取込区分</v>
          </cell>
          <cell r="T103" t="str">
            <v>○</v>
          </cell>
        </row>
        <row r="104">
          <cell r="C104" t="str">
            <v>status3</v>
          </cell>
          <cell r="D104" t="str">
            <v>nvarchar</v>
          </cell>
          <cell r="E104">
            <v>100</v>
          </cell>
          <cell r="L104" t="str">
            <v>L(100)Eq</v>
          </cell>
          <cell r="P104" t="str">
            <v>商品</v>
          </cell>
          <cell r="Q104" t="str">
            <v>アダルト区分</v>
          </cell>
        </row>
        <row r="105">
          <cell r="C105" t="str">
            <v>genre1</v>
          </cell>
          <cell r="D105" t="str">
            <v>text</v>
          </cell>
          <cell r="E105">
            <v>16</v>
          </cell>
          <cell r="L105" t="str">
            <v>L(255)Eq</v>
          </cell>
          <cell r="P105" t="str">
            <v>商品</v>
          </cell>
          <cell r="Q105" t="str">
            <v>商品ジャンル（親含む）</v>
          </cell>
          <cell r="T105" t="str">
            <v>商品ジャンル（親含む）</v>
          </cell>
        </row>
        <row r="106">
          <cell r="C106" t="str">
            <v>genre2</v>
          </cell>
          <cell r="D106" t="str">
            <v>varchar</v>
          </cell>
          <cell r="E106">
            <v>255</v>
          </cell>
          <cell r="L106" t="str">
            <v>L(255)Eq</v>
          </cell>
          <cell r="P106" t="str">
            <v>商品</v>
          </cell>
          <cell r="Q106" t="str">
            <v>商品ジャンル（末端だけ）</v>
          </cell>
          <cell r="T106" t="str">
            <v>商品ジャンル（末端だけ）</v>
          </cell>
        </row>
        <row r="107">
          <cell r="C107" t="str">
            <v>genre3</v>
          </cell>
          <cell r="D107" t="str">
            <v>varchar</v>
          </cell>
          <cell r="E107">
            <v>255</v>
          </cell>
          <cell r="L107" t="str">
            <v>L(255)Eq</v>
          </cell>
          <cell r="P107" t="str">
            <v>商品</v>
          </cell>
          <cell r="Q107" t="str">
            <v>商品ジャンルメイン（親含む）</v>
          </cell>
          <cell r="R107" t="str">
            <v>IX_genre3</v>
          </cell>
          <cell r="S107" t="str">
            <v>お気に入りの検索で使用</v>
          </cell>
          <cell r="T107" t="str">
            <v>商品ジャンルメイン（親含む）</v>
          </cell>
        </row>
        <row r="108">
          <cell r="C108" t="str">
            <v>main_genre</v>
          </cell>
          <cell r="D108" t="str">
            <v>varchar</v>
          </cell>
          <cell r="E108">
            <v>50</v>
          </cell>
          <cell r="L108" t="str">
            <v>L(50)Eq</v>
          </cell>
          <cell r="P108" t="str">
            <v>商品</v>
          </cell>
          <cell r="Q108" t="str">
            <v>商品ジャンルメイン（末端だけ）</v>
          </cell>
          <cell r="T108" t="str">
            <v>商品ジャンルメイン（末端だけ）</v>
          </cell>
        </row>
        <row r="109">
          <cell r="C109" t="str">
            <v>search_genre_1</v>
          </cell>
          <cell r="D109" t="str">
            <v>varchar</v>
          </cell>
          <cell r="E109">
            <v>255</v>
          </cell>
          <cell r="L109" t="str">
            <v>L(255)Eq</v>
          </cell>
          <cell r="P109" t="str">
            <v>商品</v>
          </cell>
          <cell r="R109" t="str">
            <v>IX_search_genre_1</v>
          </cell>
        </row>
        <row r="110">
          <cell r="C110" t="str">
            <v>search_genre_2</v>
          </cell>
          <cell r="D110" t="str">
            <v>varchar</v>
          </cell>
          <cell r="E110">
            <v>255</v>
          </cell>
          <cell r="L110" t="str">
            <v>L(255)Eq</v>
          </cell>
          <cell r="P110" t="str">
            <v>商品</v>
          </cell>
          <cell r="R110" t="str">
            <v>IX_search_genre_2</v>
          </cell>
        </row>
        <row r="111">
          <cell r="C111" t="str">
            <v>search_genre_3</v>
          </cell>
          <cell r="D111" t="str">
            <v>varchar</v>
          </cell>
          <cell r="E111">
            <v>255</v>
          </cell>
          <cell r="L111" t="str">
            <v>L(255)Eq</v>
          </cell>
          <cell r="P111" t="str">
            <v>商品</v>
          </cell>
          <cell r="R111" t="str">
            <v>IX_search_genre_3</v>
          </cell>
        </row>
        <row r="112">
          <cell r="C112" t="str">
            <v>search_genre_4</v>
          </cell>
          <cell r="D112" t="str">
            <v>varchar</v>
          </cell>
          <cell r="E112">
            <v>255</v>
          </cell>
          <cell r="L112" t="str">
            <v>L(255)Eq</v>
          </cell>
          <cell r="P112" t="str">
            <v>商品</v>
          </cell>
          <cell r="R112" t="str">
            <v>IX_search_genre_4</v>
          </cell>
        </row>
        <row r="113">
          <cell r="C113" t="str">
            <v>search_genre_5</v>
          </cell>
          <cell r="D113" t="str">
            <v>varchar</v>
          </cell>
          <cell r="E113">
            <v>255</v>
          </cell>
          <cell r="L113" t="str">
            <v>L(255)Eq</v>
          </cell>
          <cell r="P113" t="str">
            <v>商品</v>
          </cell>
          <cell r="R113" t="str">
            <v>IX_search_genre_5</v>
          </cell>
        </row>
        <row r="114">
          <cell r="C114" t="str">
            <v>check_stock_type</v>
          </cell>
          <cell r="D114" t="str">
            <v>varchar</v>
          </cell>
          <cell r="E114">
            <v>50</v>
          </cell>
          <cell r="L114" t="str">
            <v>L(50)Eq</v>
          </cell>
          <cell r="P114" t="str">
            <v>商品</v>
          </cell>
          <cell r="Q114" t="str">
            <v>－</v>
          </cell>
        </row>
        <row r="115">
          <cell r="C115" t="str">
            <v>optional_data_xml</v>
          </cell>
          <cell r="D115" t="str">
            <v>text</v>
          </cell>
          <cell r="E115">
            <v>16</v>
          </cell>
          <cell r="L115" t="str">
            <v>Eq</v>
          </cell>
          <cell r="P115" t="str">
            <v>編集</v>
          </cell>
          <cell r="Q115" t="str">
            <v>表示項目補足情報</v>
          </cell>
        </row>
        <row r="116">
          <cell r="C116" t="str">
            <v>del_flag</v>
          </cell>
          <cell r="D116" t="str">
            <v>varchar</v>
          </cell>
          <cell r="E116">
            <v>10</v>
          </cell>
          <cell r="L116" t="str">
            <v>L(10)S[DEL]Eq</v>
          </cell>
          <cell r="P116" t="str">
            <v>商品</v>
          </cell>
          <cell r="Q116" t="str">
            <v>削除フラグ</v>
          </cell>
          <cell r="T116" t="str">
            <v>削除「DEL」</v>
          </cell>
        </row>
        <row r="117">
          <cell r="C117" t="str">
            <v>batch_flag</v>
          </cell>
          <cell r="D117" t="str">
            <v>varchar</v>
          </cell>
          <cell r="E117">
            <v>20</v>
          </cell>
          <cell r="L117" t="str">
            <v>L(20)Eq</v>
          </cell>
          <cell r="P117" t="str">
            <v>編集</v>
          </cell>
          <cell r="Q117" t="str">
            <v>バッチ用フラグ</v>
          </cell>
          <cell r="T117" t="str">
            <v>バッチ処理でのみ使用する</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買い物かごマスタ"/>
      <sheetName val="キャッシュ"/>
      <sheetName val="顧客管理テーブル"/>
      <sheetName val="受注マスタ"/>
      <sheetName val="受注明細"/>
      <sheetName val="商品マスタ"/>
      <sheetName val="商品検索用テーブル"/>
      <sheetName val="(旧 商品検索用テーブル)"/>
      <sheetName val="商品グループ属性マスタ"/>
      <sheetName val="在庫マスタ"/>
      <sheetName val="取引業者マスタ"/>
      <sheetName val="分類マスタ"/>
      <sheetName val="ポイント管理マスタ"/>
      <sheetName val="顧客別ポイントマスタ"/>
      <sheetName val="顧客別ポイント履歴"/>
      <sheetName val="●オプションマスタ"/>
      <sheetName val="●発注マスタ"/>
      <sheetName val="店舗管理テーブル"/>
      <sheetName val="店舗グループ化マスタ"/>
      <sheetName val="郵便番号マスタ"/>
      <sheetName val="▼買い物かごXML"/>
      <sheetName val="パブリッシュ管理マスタ"/>
      <sheetName val="コンテンツ管理マスタ"/>
      <sheetName val="コンテンツテンプレートマスタ"/>
      <sheetName val="バナー管理マスタ"/>
      <sheetName val="表示＆クリックログ管理テーブル（１時）"/>
      <sheetName val="リンク管理テーブル"/>
      <sheetName val="HTML部品管理"/>
      <sheetName val="オペレータ管理"/>
      <sheetName val="メールアカウントマスタ"/>
      <sheetName val="メール文書テーブル"/>
      <sheetName val="通知希望者マスタ"/>
      <sheetName val="コミュニティ設定テーブル"/>
      <sheetName val="コミュニティ設定集計マスタ"/>
      <sheetName val="コミュニティテーブル"/>
      <sheetName val="コミュニティ評価マスタ"/>
      <sheetName val="コミュニティ集計マスタ"/>
      <sheetName val="コミュニティ回答テーブル"/>
      <sheetName val="スケジュール管理テーブル"/>
      <sheetName val="検索履歴テーブル"/>
      <sheetName val="オペレーションログテーブル"/>
      <sheetName val="アンケートマスタ"/>
      <sheetName val="アンケート回答テーブル"/>
      <sheetName val="アンケート回答集計テーブル"/>
      <sheetName val="uc_ip_domain"/>
      <sheetName val="uc_seo_rank"/>
      <sheetName val="uc_sqllog"/>
      <sheetName val="uc_seo_keyword"/>
      <sheetName val="uc_seo_research"/>
      <sheetName val="uc_sem_research"/>
      <sheetName val="テーブル一覧"/>
    </sheetNames>
    <sheetDataSet>
      <sheetData sheetId="0" refreshError="1"/>
      <sheetData sheetId="1" refreshError="1"/>
      <sheetData sheetId="2" refreshError="1"/>
      <sheetData sheetId="3" refreshError="1"/>
      <sheetData sheetId="4" refreshError="1"/>
      <sheetData sheetId="5" refreshError="1"/>
      <sheetData sheetId="6">
        <row r="8">
          <cell r="C8" t="str">
            <v>フィールド名（英語）</v>
          </cell>
          <cell r="D8" t="str">
            <v>Ｔｙｐｅ</v>
          </cell>
          <cell r="E8" t="str">
            <v>カラム数</v>
          </cell>
          <cell r="F8" t="str">
            <v>Ｎｕｌｌ</v>
          </cell>
          <cell r="G8" t="str">
            <v>Ｄｅｆａｕｌｔ</v>
          </cell>
          <cell r="H8" t="str">
            <v>№</v>
          </cell>
          <cell r="I8" t="str">
            <v>ＰＫ</v>
          </cell>
          <cell r="J8" t="str">
            <v>UK</v>
          </cell>
          <cell r="K8" t="str">
            <v>ＦＫ</v>
          </cell>
          <cell r="L8" t="str">
            <v>Cmd</v>
          </cell>
          <cell r="M8" t="str">
            <v>フルテキストカタログ</v>
          </cell>
          <cell r="N8" t="str">
            <v>検索バー</v>
          </cell>
          <cell r="O8" t="str">
            <v>詳細検索</v>
          </cell>
          <cell r="P8" t="str">
            <v>ソース</v>
          </cell>
          <cell r="Q8" t="str">
            <v>定義（Sofmap）</v>
          </cell>
          <cell r="R8" t="str">
            <v>インデックス</v>
          </cell>
          <cell r="S8" t="str">
            <v>備考（Sofmap）</v>
          </cell>
          <cell r="T8" t="str">
            <v>備考(FW)</v>
          </cell>
        </row>
        <row r="9">
          <cell r="C9" t="str">
            <v>dept_id</v>
          </cell>
          <cell r="D9" t="str">
            <v>varchar</v>
          </cell>
          <cell r="E9">
            <v>8</v>
          </cell>
          <cell r="L9" t="str">
            <v>NL(8)Eq</v>
          </cell>
          <cell r="P9" t="str">
            <v>商品</v>
          </cell>
          <cell r="Q9" t="str">
            <v>店舗ＩＤ</v>
          </cell>
        </row>
        <row r="10">
          <cell r="C10" t="str">
            <v>pfid</v>
          </cell>
          <cell r="D10" t="str">
            <v>varchar</v>
          </cell>
          <cell r="E10">
            <v>40</v>
          </cell>
          <cell r="L10" t="str">
            <v>L(40)Eq</v>
          </cell>
          <cell r="P10" t="str">
            <v>商品</v>
          </cell>
          <cell r="Q10" t="str">
            <v>ＥＣ商品ＩＤ（システム冗長化項目）</v>
          </cell>
        </row>
        <row r="11">
          <cell r="C11" t="str">
            <v>sku</v>
          </cell>
          <cell r="D11" t="str">
            <v>varchar</v>
          </cell>
          <cell r="E11">
            <v>40</v>
          </cell>
          <cell r="I11" t="str">
            <v>○</v>
          </cell>
          <cell r="L11" t="str">
            <v>NL(40)Eq</v>
          </cell>
          <cell r="O11" t="str">
            <v>JANコード・商品番号</v>
          </cell>
          <cell r="P11" t="str">
            <v>商品</v>
          </cell>
          <cell r="Q11" t="str">
            <v>ＥＣ商品ＩＤ</v>
          </cell>
        </row>
        <row r="12">
          <cell r="C12" t="str">
            <v>stock_id</v>
          </cell>
          <cell r="D12" t="str">
            <v>varchar</v>
          </cell>
          <cell r="E12">
            <v>40</v>
          </cell>
          <cell r="L12" t="str">
            <v>L(40)Eq</v>
          </cell>
          <cell r="P12" t="str">
            <v>商品</v>
          </cell>
          <cell r="Q12" t="str">
            <v>在庫ID（＝ＳＫＵ）</v>
          </cell>
        </row>
        <row r="13">
          <cell r="C13" t="str">
            <v>warehouse_id</v>
          </cell>
          <cell r="D13" t="str">
            <v>varchar</v>
          </cell>
          <cell r="E13">
            <v>40</v>
          </cell>
          <cell r="L13" t="str">
            <v>L(40)Eq</v>
          </cell>
          <cell r="P13" t="str">
            <v>在庫</v>
          </cell>
          <cell r="Q13" t="str">
            <v>－</v>
          </cell>
        </row>
        <row r="14">
          <cell r="C14" t="str">
            <v>product_name_1</v>
          </cell>
          <cell r="D14" t="str">
            <v>nvarchar</v>
          </cell>
          <cell r="E14">
            <v>100</v>
          </cell>
          <cell r="L14" t="str">
            <v>L(100)Eq</v>
          </cell>
          <cell r="M14" t="str">
            <v>○</v>
          </cell>
          <cell r="N14" t="str">
            <v>○</v>
          </cell>
          <cell r="O14" t="str">
            <v>キーワード
商品名・型番</v>
          </cell>
          <cell r="P14" t="str">
            <v>商品</v>
          </cell>
          <cell r="Q14" t="str">
            <v>商品名</v>
          </cell>
          <cell r="R14" t="str">
            <v>IX_product_name_1</v>
          </cell>
        </row>
        <row r="15">
          <cell r="C15" t="str">
            <v>product_name_2</v>
          </cell>
          <cell r="D15" t="str">
            <v>nvarchar</v>
          </cell>
          <cell r="E15">
            <v>100</v>
          </cell>
          <cell r="L15" t="str">
            <v>L(100)Eq</v>
          </cell>
          <cell r="M15" t="str">
            <v>○</v>
          </cell>
          <cell r="P15" t="str">
            <v>商品</v>
          </cell>
          <cell r="Q15" t="str">
            <v>商品名（読み）</v>
          </cell>
        </row>
        <row r="16">
          <cell r="C16" t="str">
            <v>product_name_3</v>
          </cell>
          <cell r="D16" t="str">
            <v>nvarchar</v>
          </cell>
          <cell r="E16">
            <v>100</v>
          </cell>
          <cell r="L16" t="str">
            <v>L(100)Eq</v>
          </cell>
          <cell r="M16" t="str">
            <v>○</v>
          </cell>
          <cell r="P16" t="str">
            <v>商品</v>
          </cell>
          <cell r="Q16" t="str">
            <v>－</v>
          </cell>
        </row>
        <row r="17">
          <cell r="C17" t="str">
            <v>product_name_4</v>
          </cell>
          <cell r="D17" t="str">
            <v>nvarchar</v>
          </cell>
          <cell r="E17">
            <v>100</v>
          </cell>
          <cell r="L17" t="str">
            <v>L(100)Eq</v>
          </cell>
          <cell r="M17" t="str">
            <v>○</v>
          </cell>
          <cell r="P17" t="str">
            <v>商品</v>
          </cell>
          <cell r="Q17" t="str">
            <v>－</v>
          </cell>
        </row>
        <row r="18">
          <cell r="C18" t="str">
            <v>product_name_5</v>
          </cell>
          <cell r="D18" t="str">
            <v>nvarchar</v>
          </cell>
          <cell r="E18">
            <v>100</v>
          </cell>
          <cell r="L18" t="str">
            <v>L(100)Eq</v>
          </cell>
          <cell r="M18" t="str">
            <v>○</v>
          </cell>
          <cell r="P18" t="str">
            <v>商品</v>
          </cell>
          <cell r="Q18" t="str">
            <v>AS商品名</v>
          </cell>
        </row>
        <row r="19">
          <cell r="C19" t="str">
            <v>product_name_6</v>
          </cell>
          <cell r="D19" t="str">
            <v>nvarchar</v>
          </cell>
          <cell r="E19">
            <v>100</v>
          </cell>
          <cell r="L19" t="str">
            <v>L(100)Eq</v>
          </cell>
          <cell r="M19" t="str">
            <v>○</v>
          </cell>
          <cell r="P19" t="str">
            <v>商品</v>
          </cell>
          <cell r="Q19" t="str">
            <v>AS商品名（読み）</v>
          </cell>
        </row>
        <row r="20">
          <cell r="C20" t="str">
            <v>product_name_7</v>
          </cell>
          <cell r="D20" t="str">
            <v>nvarchar</v>
          </cell>
          <cell r="E20">
            <v>100</v>
          </cell>
          <cell r="L20" t="str">
            <v>L(100)Eq</v>
          </cell>
          <cell r="M20" t="str">
            <v>○</v>
          </cell>
          <cell r="P20" t="str">
            <v>商品</v>
          </cell>
          <cell r="Q20" t="str">
            <v>－</v>
          </cell>
        </row>
        <row r="21">
          <cell r="C21" t="str">
            <v>product_name_8</v>
          </cell>
          <cell r="D21" t="str">
            <v>nvarchar</v>
          </cell>
          <cell r="E21">
            <v>100</v>
          </cell>
          <cell r="L21" t="str">
            <v>L(100)Eq</v>
          </cell>
          <cell r="M21" t="str">
            <v>○</v>
          </cell>
          <cell r="P21" t="str">
            <v>商品</v>
          </cell>
          <cell r="Q21" t="str">
            <v>－</v>
          </cell>
        </row>
        <row r="22">
          <cell r="C22" t="str">
            <v>product_name_9</v>
          </cell>
          <cell r="D22" t="str">
            <v>nvarchar</v>
          </cell>
          <cell r="E22">
            <v>100</v>
          </cell>
          <cell r="L22" t="str">
            <v>L(100)Eq</v>
          </cell>
          <cell r="M22" t="str">
            <v>○</v>
          </cell>
          <cell r="P22" t="str">
            <v>商品</v>
          </cell>
          <cell r="Q22" t="str">
            <v>－</v>
          </cell>
        </row>
        <row r="23">
          <cell r="C23" t="str">
            <v>product_name_10</v>
          </cell>
          <cell r="D23" t="str">
            <v>nvarchar</v>
          </cell>
          <cell r="E23">
            <v>100</v>
          </cell>
          <cell r="L23" t="str">
            <v>L(100)Eq</v>
          </cell>
          <cell r="M23" t="str">
            <v>○</v>
          </cell>
          <cell r="P23" t="str">
            <v>商品</v>
          </cell>
          <cell r="Q23" t="str">
            <v>－</v>
          </cell>
        </row>
        <row r="24">
          <cell r="C24" t="str">
            <v>product_maker_code</v>
          </cell>
          <cell r="D24" t="str">
            <v>nvarchar</v>
          </cell>
          <cell r="E24">
            <v>50</v>
          </cell>
          <cell r="L24" t="str">
            <v>L(50)Eq</v>
          </cell>
          <cell r="M24" t="str">
            <v>○</v>
          </cell>
          <cell r="P24" t="str">
            <v>商品</v>
          </cell>
          <cell r="Q24" t="str">
            <v>メーカーコード</v>
          </cell>
        </row>
        <row r="25">
          <cell r="C25" t="str">
            <v>product_maker</v>
          </cell>
          <cell r="D25" t="str">
            <v>nvarchar</v>
          </cell>
          <cell r="E25">
            <v>400</v>
          </cell>
          <cell r="L25" t="str">
            <v>L(400)Eq</v>
          </cell>
          <cell r="M25" t="str">
            <v>○</v>
          </cell>
          <cell r="N25" t="str">
            <v>○</v>
          </cell>
          <cell r="O25" t="str">
            <v>キーワード
メーカー名</v>
          </cell>
          <cell r="P25" t="str">
            <v>商品</v>
          </cell>
          <cell r="Q25" t="str">
            <v>メーカー名</v>
          </cell>
          <cell r="R25" t="str">
            <v>IX_product_maker</v>
          </cell>
        </row>
        <row r="26">
          <cell r="C26" t="str">
            <v>product_brand</v>
          </cell>
          <cell r="D26" t="str">
            <v>nvarchar</v>
          </cell>
          <cell r="E26">
            <v>200</v>
          </cell>
          <cell r="L26" t="str">
            <v>L(200)Eq</v>
          </cell>
          <cell r="M26" t="str">
            <v>○</v>
          </cell>
          <cell r="P26" t="str">
            <v>商品</v>
          </cell>
          <cell r="Q26" t="str">
            <v>－</v>
          </cell>
        </row>
        <row r="27">
          <cell r="C27" t="str">
            <v>product_exp_1</v>
          </cell>
          <cell r="D27" t="str">
            <v>nvarchar</v>
          </cell>
          <cell r="E27">
            <v>255</v>
          </cell>
          <cell r="L27" t="str">
            <v>L(255)Eq</v>
          </cell>
          <cell r="M27" t="str">
            <v>○</v>
          </cell>
          <cell r="N27" t="str">
            <v>○</v>
          </cell>
          <cell r="O27" t="str">
            <v>コメント</v>
          </cell>
          <cell r="P27" t="str">
            <v>商品</v>
          </cell>
          <cell r="Q27" t="str">
            <v>商品説明（S）</v>
          </cell>
        </row>
        <row r="28">
          <cell r="C28" t="str">
            <v>product_exp_2</v>
          </cell>
          <cell r="D28" t="str">
            <v>nvarchar</v>
          </cell>
          <cell r="E28">
            <v>255</v>
          </cell>
          <cell r="L28" t="str">
            <v>L(255)Eq</v>
          </cell>
          <cell r="M28" t="str">
            <v>○</v>
          </cell>
          <cell r="N28" t="str">
            <v>○</v>
          </cell>
          <cell r="O28" t="str">
            <v>コメント</v>
          </cell>
          <cell r="P28" t="str">
            <v>商品</v>
          </cell>
          <cell r="Q28" t="str">
            <v>商品説明（L）</v>
          </cell>
        </row>
        <row r="29">
          <cell r="C29" t="str">
            <v>product_exp_3</v>
          </cell>
          <cell r="D29" t="str">
            <v>nvarchar</v>
          </cell>
          <cell r="E29">
            <v>255</v>
          </cell>
          <cell r="L29" t="str">
            <v>L(255)Eq</v>
          </cell>
          <cell r="M29" t="str">
            <v>○</v>
          </cell>
          <cell r="N29" t="str">
            <v>○</v>
          </cell>
          <cell r="O29" t="str">
            <v>コメント</v>
          </cell>
          <cell r="P29" t="str">
            <v>商品</v>
          </cell>
          <cell r="Q29" t="str">
            <v>商品説明（SPEC）</v>
          </cell>
        </row>
        <row r="30">
          <cell r="C30" t="str">
            <v>product_exp_4</v>
          </cell>
          <cell r="D30" t="str">
            <v>nvarchar</v>
          </cell>
          <cell r="E30">
            <v>255</v>
          </cell>
          <cell r="L30" t="str">
            <v>L(255)Eq</v>
          </cell>
          <cell r="M30" t="str">
            <v>○</v>
          </cell>
          <cell r="N30" t="str">
            <v>○</v>
          </cell>
          <cell r="O30" t="str">
            <v>コメント</v>
          </cell>
          <cell r="P30" t="str">
            <v>商品</v>
          </cell>
          <cell r="Q30" t="str">
            <v>商品説明（状態）</v>
          </cell>
        </row>
        <row r="31">
          <cell r="C31" t="str">
            <v>product_exp_5</v>
          </cell>
          <cell r="D31" t="str">
            <v>nvarchar</v>
          </cell>
          <cell r="E31">
            <v>255</v>
          </cell>
          <cell r="L31" t="str">
            <v>L(255)Eq</v>
          </cell>
          <cell r="M31" t="str">
            <v>○</v>
          </cell>
          <cell r="N31" t="str">
            <v>○</v>
          </cell>
          <cell r="O31" t="str">
            <v>コメント</v>
          </cell>
          <cell r="P31" t="str">
            <v>商品</v>
          </cell>
          <cell r="Q31" t="str">
            <v>商品説明（担当者コメント）</v>
          </cell>
        </row>
        <row r="32">
          <cell r="C32" t="str">
            <v>product_exp_6</v>
          </cell>
          <cell r="D32" t="str">
            <v>nvarchar</v>
          </cell>
          <cell r="E32">
            <v>255</v>
          </cell>
          <cell r="L32" t="str">
            <v>L(255)Eq</v>
          </cell>
          <cell r="M32" t="str">
            <v>○</v>
          </cell>
          <cell r="N32" t="str">
            <v>○</v>
          </cell>
          <cell r="O32" t="str">
            <v>コメント</v>
          </cell>
          <cell r="P32" t="str">
            <v>商品</v>
          </cell>
          <cell r="Q32" t="str">
            <v>商品説明（限定商品の在庫説明）</v>
          </cell>
        </row>
        <row r="33">
          <cell r="C33" t="str">
            <v>product_exp_7</v>
          </cell>
          <cell r="D33" t="str">
            <v>nvarchar</v>
          </cell>
          <cell r="E33">
            <v>255</v>
          </cell>
          <cell r="L33" t="str">
            <v>L(255)Eq</v>
          </cell>
          <cell r="M33" t="str">
            <v>○</v>
          </cell>
          <cell r="P33" t="str">
            <v>商品</v>
          </cell>
          <cell r="Q33" t="str">
            <v>－</v>
          </cell>
        </row>
        <row r="34">
          <cell r="C34" t="str">
            <v>product_exp_8</v>
          </cell>
          <cell r="D34" t="str">
            <v>nvarchar</v>
          </cell>
          <cell r="E34">
            <v>255</v>
          </cell>
          <cell r="L34" t="str">
            <v>L(255)Eq</v>
          </cell>
          <cell r="M34" t="str">
            <v>○</v>
          </cell>
          <cell r="P34" t="str">
            <v>商品</v>
          </cell>
          <cell r="Q34" t="str">
            <v>－</v>
          </cell>
        </row>
        <row r="35">
          <cell r="C35" t="str">
            <v>product_exp_9</v>
          </cell>
          <cell r="D35" t="str">
            <v>nvarchar</v>
          </cell>
          <cell r="E35">
            <v>255</v>
          </cell>
          <cell r="L35" t="str">
            <v>L(255)Eq</v>
          </cell>
          <cell r="M35" t="str">
            <v>○</v>
          </cell>
          <cell r="P35" t="str">
            <v>商品</v>
          </cell>
          <cell r="Q35" t="str">
            <v>－</v>
          </cell>
        </row>
        <row r="36">
          <cell r="C36" t="str">
            <v>product_exp_10</v>
          </cell>
          <cell r="D36" t="str">
            <v>nvarchar</v>
          </cell>
          <cell r="E36">
            <v>255</v>
          </cell>
          <cell r="L36" t="str">
            <v>L(255)Eq</v>
          </cell>
          <cell r="M36" t="str">
            <v>○</v>
          </cell>
          <cell r="P36" t="str">
            <v>商品</v>
          </cell>
          <cell r="Q36" t="str">
            <v>－</v>
          </cell>
        </row>
        <row r="37">
          <cell r="C37" t="str">
            <v>search_keywords</v>
          </cell>
          <cell r="D37" t="str">
            <v>text</v>
          </cell>
          <cell r="E37">
            <v>16</v>
          </cell>
          <cell r="L37" t="str">
            <v>L(500)Eq</v>
          </cell>
          <cell r="M37" t="str">
            <v>○</v>
          </cell>
          <cell r="N37" t="str">
            <v>○</v>
          </cell>
          <cell r="O37" t="str">
            <v>キーワード</v>
          </cell>
          <cell r="P37" t="str">
            <v>商品</v>
          </cell>
          <cell r="Q37" t="str">
            <v>検索キーワード</v>
          </cell>
        </row>
        <row r="38">
          <cell r="C38" t="str">
            <v>spec_info</v>
          </cell>
          <cell r="D38" t="str">
            <v>text</v>
          </cell>
          <cell r="E38">
            <v>16</v>
          </cell>
          <cell r="L38" t="str">
            <v>L(1000)Eq</v>
          </cell>
          <cell r="M38" t="str">
            <v>○</v>
          </cell>
          <cell r="N38" t="str">
            <v>○</v>
          </cell>
          <cell r="O38" t="str">
            <v>キーワード</v>
          </cell>
          <cell r="P38" t="str">
            <v>商品</v>
          </cell>
          <cell r="Q38" t="str">
            <v>スペック</v>
          </cell>
          <cell r="S38" t="str">
            <v>値のInnerTextのみセット</v>
          </cell>
        </row>
        <row r="39">
          <cell r="C39" t="str">
            <v>sale_price</v>
          </cell>
          <cell r="D39" t="str">
            <v>int</v>
          </cell>
          <cell r="E39">
            <v>4</v>
          </cell>
          <cell r="L39" t="str">
            <v>0Eq</v>
          </cell>
          <cell r="O39" t="str">
            <v>価格</v>
          </cell>
          <cell r="P39" t="str">
            <v>商品</v>
          </cell>
          <cell r="Q39" t="str">
            <v>実売価格</v>
          </cell>
          <cell r="R39" t="str">
            <v>IX_sale_price</v>
          </cell>
          <cell r="S39" t="str">
            <v>単品：単価
セット：セット価格（子の合計）</v>
          </cell>
        </row>
        <row r="40">
          <cell r="C40" t="str">
            <v>sale_price_disp</v>
          </cell>
          <cell r="D40" t="str">
            <v>nvarchar</v>
          </cell>
          <cell r="E40">
            <v>80</v>
          </cell>
          <cell r="L40" t="str">
            <v>L(80)Eq</v>
          </cell>
          <cell r="P40" t="str">
            <v>商品</v>
          </cell>
          <cell r="Q40" t="str">
            <v>－</v>
          </cell>
        </row>
        <row r="41">
          <cell r="C41" t="str">
            <v>tax_include</v>
          </cell>
          <cell r="D41" t="str">
            <v>varchar</v>
          </cell>
          <cell r="E41">
            <v>40</v>
          </cell>
          <cell r="L41" t="str">
            <v>L(40)Eq</v>
          </cell>
          <cell r="P41" t="str">
            <v>商品</v>
          </cell>
          <cell r="Q41" t="str">
            <v>外内税区分</v>
          </cell>
        </row>
        <row r="42">
          <cell r="C42" t="str">
            <v>set_flg</v>
          </cell>
          <cell r="D42" t="str">
            <v>varchar</v>
          </cell>
          <cell r="E42">
            <v>40</v>
          </cell>
          <cell r="L42" t="str">
            <v>L(40)S[SET,WAGON]Eq</v>
          </cell>
          <cell r="P42" t="str">
            <v>商品</v>
          </cell>
          <cell r="Q42" t="str">
            <v>セット商品フラグ</v>
          </cell>
          <cell r="S42" t="str">
            <v>ＳＥＴ：セット親
SET_ONLY：セットの子のみ</v>
          </cell>
          <cell r="T42" t="str">
            <v/>
          </cell>
        </row>
        <row r="43">
          <cell r="C43" t="str">
            <v>point_define_id</v>
          </cell>
          <cell r="D43" t="str">
            <v>varchar</v>
          </cell>
          <cell r="E43">
            <v>40</v>
          </cell>
          <cell r="L43" t="str">
            <v>L(40)Eq</v>
          </cell>
          <cell r="R43" t="str">
            <v>&lt;point_define_id name="ポイント付与ルール" /&gt;</v>
          </cell>
          <cell r="S43" t="str">
            <v>&lt;point_define_id name="ポイント付与ルール" cmd="L(40)Eq"&gt;&lt;![CDATA[[$$ Request#point_define_id $$]]]&gt;&lt;/point_define_id&gt;</v>
          </cell>
        </row>
        <row r="44">
          <cell r="C44" t="str">
            <v>point_rule</v>
          </cell>
          <cell r="D44" t="str">
            <v>varchar</v>
          </cell>
          <cell r="E44">
            <v>40</v>
          </cell>
          <cell r="L44" t="str">
            <v>L(40)Eq</v>
          </cell>
          <cell r="R44" t="str">
            <v>&lt;point_rule name="ポイント付与タイミング" /&gt;</v>
          </cell>
          <cell r="S44" t="str">
            <v>&lt;point_rule name="ポイント付与タイミング" cmd="L(40)Eq"&gt;&lt;![CDATA[[$$ Request#point_rule $$]]]&gt;&lt;/point_rule&gt;</v>
          </cell>
        </row>
        <row r="45">
          <cell r="C45" t="str">
            <v>site_point</v>
          </cell>
          <cell r="D45" t="str">
            <v>int</v>
          </cell>
          <cell r="E45">
            <v>4</v>
          </cell>
          <cell r="G45" t="str">
            <v>(0)</v>
          </cell>
          <cell r="L45" t="str">
            <v>0Eq</v>
          </cell>
          <cell r="P45" t="str">
            <v>商品</v>
          </cell>
          <cell r="Q45" t="str">
            <v>－</v>
          </cell>
        </row>
        <row r="46">
          <cell r="C46" t="str">
            <v>site_point_rate</v>
          </cell>
          <cell r="D46" t="str">
            <v>int</v>
          </cell>
          <cell r="E46">
            <v>4</v>
          </cell>
          <cell r="G46" t="str">
            <v>(0)</v>
          </cell>
          <cell r="L46" t="str">
            <v>0Eq</v>
          </cell>
          <cell r="P46" t="str">
            <v>商品</v>
          </cell>
          <cell r="Q46" t="str">
            <v>－</v>
          </cell>
        </row>
        <row r="47">
          <cell r="C47" t="str">
            <v>dept_point</v>
          </cell>
          <cell r="D47" t="str">
            <v>int</v>
          </cell>
          <cell r="E47">
            <v>4</v>
          </cell>
          <cell r="G47" t="str">
            <v>(0)</v>
          </cell>
          <cell r="L47" t="str">
            <v>0Eq</v>
          </cell>
          <cell r="P47" t="str">
            <v>商品・分類</v>
          </cell>
          <cell r="Q47" t="str">
            <v>ポイント</v>
          </cell>
          <cell r="S47" t="str">
            <v>単品：取得ポイント
セット：セットの取得ポイント（親子の合計）</v>
          </cell>
        </row>
        <row r="48">
          <cell r="C48" t="str">
            <v>dept_point_rate</v>
          </cell>
          <cell r="D48" t="str">
            <v>int</v>
          </cell>
          <cell r="E48">
            <v>4</v>
          </cell>
          <cell r="G48" t="str">
            <v>(0)</v>
          </cell>
          <cell r="L48" t="str">
            <v>0Eq</v>
          </cell>
          <cell r="P48" t="str">
            <v>商品・分類</v>
          </cell>
          <cell r="Q48" t="str">
            <v>ポイント率</v>
          </cell>
        </row>
        <row r="49">
          <cell r="C49" t="str">
            <v>stock_disp_type_id</v>
          </cell>
          <cell r="D49" t="str">
            <v>nvarchar</v>
          </cell>
          <cell r="E49">
            <v>16</v>
          </cell>
          <cell r="L49" t="str">
            <v>L(32)Eq</v>
          </cell>
          <cell r="P49" t="str">
            <v>商品</v>
          </cell>
          <cell r="Q49" t="str">
            <v>在庫表示タイプ</v>
          </cell>
          <cell r="T49" t="str">
            <v>例１）○×△　例２）50　在庫表示DLLで制御</v>
          </cell>
        </row>
        <row r="50">
          <cell r="C50" t="str">
            <v>stock_disp</v>
          </cell>
          <cell r="D50" t="str">
            <v>nvarchar</v>
          </cell>
          <cell r="E50">
            <v>255</v>
          </cell>
          <cell r="L50" t="str">
            <v>L(255)Eq</v>
          </cell>
          <cell r="P50" t="str">
            <v>編集</v>
          </cell>
          <cell r="Q50" t="str">
            <v>例：「あとｎ個」など</v>
          </cell>
          <cell r="T50" t="str">
            <v>例１）○×△　例２）50　在庫表示DLLで制御</v>
          </cell>
        </row>
        <row r="51">
          <cell r="C51" t="str">
            <v>stock_disp_id</v>
          </cell>
          <cell r="D51" t="str">
            <v>varchar</v>
          </cell>
          <cell r="E51">
            <v>40</v>
          </cell>
          <cell r="L51" t="str">
            <v>L(40)Eq</v>
          </cell>
          <cell r="P51" t="str">
            <v>編集</v>
          </cell>
          <cell r="Q51" t="str">
            <v>在庫表示ID
これをもとに在庫状況をアイコン表示する
例：「取引先在庫あり」</v>
          </cell>
        </row>
        <row r="52">
          <cell r="C52" t="str">
            <v>delivery_type</v>
          </cell>
          <cell r="D52" t="str">
            <v>varchar</v>
          </cell>
          <cell r="E52">
            <v>16</v>
          </cell>
          <cell r="P52" t="str">
            <v>商品</v>
          </cell>
          <cell r="Q52" t="str">
            <v>配送種別</v>
          </cell>
        </row>
        <row r="53">
          <cell r="C53" t="str">
            <v>basket_stock_limit</v>
          </cell>
          <cell r="D53" t="str">
            <v>int</v>
          </cell>
          <cell r="E53">
            <v>4</v>
          </cell>
          <cell r="G53">
            <v>0</v>
          </cell>
          <cell r="L53" t="str">
            <v>0Eq</v>
          </cell>
          <cell r="P53" t="str">
            <v>在庫</v>
          </cell>
          <cell r="Q53" t="str">
            <v>買物かご在庫基準値</v>
          </cell>
          <cell r="T53" t="str">
            <v>買物かご追加時在庫マイナス用</v>
          </cell>
        </row>
        <row r="54">
          <cell r="C54" t="str">
            <v>order_stock_limit</v>
          </cell>
          <cell r="D54" t="str">
            <v>int</v>
          </cell>
          <cell r="E54">
            <v>4</v>
          </cell>
          <cell r="G54">
            <v>0</v>
          </cell>
          <cell r="L54" t="str">
            <v>0Eq</v>
          </cell>
          <cell r="P54" t="str">
            <v>在庫</v>
          </cell>
          <cell r="Q54" t="str">
            <v>注文在庫基準値</v>
          </cell>
          <cell r="T54" t="str">
            <v>顧客清算時在庫マイナス用</v>
          </cell>
        </row>
        <row r="55">
          <cell r="C55" t="str">
            <v>order_confirm_stock_limit</v>
          </cell>
          <cell r="D55" t="str">
            <v>int</v>
          </cell>
          <cell r="E55">
            <v>4</v>
          </cell>
          <cell r="G55">
            <v>0</v>
          </cell>
          <cell r="L55" t="str">
            <v>0Eq</v>
          </cell>
          <cell r="P55" t="str">
            <v>在庫</v>
          </cell>
          <cell r="Q55" t="str">
            <v>受注確認在庫基準値</v>
          </cell>
          <cell r="T55" t="str">
            <v>サプライヤ受付時在庫マイナス用</v>
          </cell>
        </row>
        <row r="56">
          <cell r="C56" t="str">
            <v>stock_limit</v>
          </cell>
          <cell r="D56" t="str">
            <v>int</v>
          </cell>
          <cell r="E56">
            <v>4</v>
          </cell>
          <cell r="G56">
            <v>0</v>
          </cell>
          <cell r="L56" t="str">
            <v>0Eq</v>
          </cell>
          <cell r="P56" t="str">
            <v>在庫</v>
          </cell>
          <cell r="Q56" t="str">
            <v>出荷後在庫基準値</v>
          </cell>
          <cell r="T56" t="str">
            <v>配送時在庫マイナス用</v>
          </cell>
        </row>
        <row r="57">
          <cell r="C57" t="str">
            <v>basket_stock_amount</v>
          </cell>
          <cell r="D57" t="str">
            <v>int</v>
          </cell>
          <cell r="E57">
            <v>4</v>
          </cell>
          <cell r="G57">
            <v>0</v>
          </cell>
          <cell r="L57" t="str">
            <v>0Eq</v>
          </cell>
          <cell r="P57" t="str">
            <v>在庫</v>
          </cell>
          <cell r="Q57" t="str">
            <v>買物かご在庫数</v>
          </cell>
          <cell r="T57" t="str">
            <v>買物かご追加時在庫マイナス用</v>
          </cell>
        </row>
        <row r="58">
          <cell r="C58" t="str">
            <v>order_stock_amount</v>
          </cell>
          <cell r="D58" t="str">
            <v>int</v>
          </cell>
          <cell r="E58">
            <v>4</v>
          </cell>
          <cell r="G58">
            <v>0</v>
          </cell>
          <cell r="L58" t="str">
            <v>0Eq</v>
          </cell>
          <cell r="P58" t="str">
            <v>在庫</v>
          </cell>
          <cell r="Q58" t="str">
            <v>注文在庫数</v>
          </cell>
          <cell r="T58" t="str">
            <v>顧客清算時在庫マイナス用</v>
          </cell>
        </row>
        <row r="59">
          <cell r="C59" t="str">
            <v>order_confirm_stock_amount</v>
          </cell>
          <cell r="D59" t="str">
            <v>int</v>
          </cell>
          <cell r="E59">
            <v>4</v>
          </cell>
          <cell r="G59">
            <v>0</v>
          </cell>
          <cell r="L59" t="str">
            <v>0Eq</v>
          </cell>
          <cell r="P59" t="str">
            <v>在庫</v>
          </cell>
          <cell r="Q59" t="str">
            <v>受注確認在庫数</v>
          </cell>
          <cell r="T59" t="str">
            <v>サプライヤ受付時在庫マイナス用</v>
          </cell>
        </row>
        <row r="60">
          <cell r="C60" t="str">
            <v>stock_amount</v>
          </cell>
          <cell r="D60" t="str">
            <v>int</v>
          </cell>
          <cell r="E60">
            <v>4</v>
          </cell>
          <cell r="L60" t="str">
            <v>0Eq</v>
          </cell>
          <cell r="P60" t="str">
            <v>在庫</v>
          </cell>
          <cell r="Q60" t="str">
            <v>出荷後在庫数</v>
          </cell>
          <cell r="T60" t="str">
            <v>配送時在庫マイナス用</v>
          </cell>
        </row>
        <row r="61">
          <cell r="C61" t="str">
            <v>active_flg</v>
          </cell>
          <cell r="D61" t="str">
            <v>nvarchar</v>
          </cell>
          <cell r="E61">
            <v>40</v>
          </cell>
          <cell r="L61" t="str">
            <v>L(40)S[ON,OFF]Eq</v>
          </cell>
          <cell r="P61" t="str">
            <v>在庫</v>
          </cell>
          <cell r="Q61" t="str">
            <v>在庫管理フラグ</v>
          </cell>
          <cell r="T61" t="str">
            <v>在庫管理フラグ(在庫管理する･･･"ON"　しない･･･"OFF")</v>
          </cell>
        </row>
        <row r="62">
          <cell r="C62" t="str">
            <v>date_created</v>
          </cell>
          <cell r="D62" t="str">
            <v>datetime</v>
          </cell>
          <cell r="E62">
            <v>8</v>
          </cell>
          <cell r="G62" t="str">
            <v>getdate()</v>
          </cell>
          <cell r="L62" t="str">
            <v>Eq</v>
          </cell>
          <cell r="P62" t="str">
            <v>自動</v>
          </cell>
          <cell r="Q62" t="str">
            <v>作成日</v>
          </cell>
        </row>
        <row r="63">
          <cell r="C63" t="str">
            <v>date_changed</v>
          </cell>
          <cell r="D63" t="str">
            <v>datetime</v>
          </cell>
          <cell r="E63">
            <v>8</v>
          </cell>
          <cell r="G63" t="str">
            <v>getdate()</v>
          </cell>
          <cell r="L63" t="str">
            <v>Eq</v>
          </cell>
          <cell r="P63" t="str">
            <v>自動</v>
          </cell>
          <cell r="Q63" t="str">
            <v>更新日</v>
          </cell>
        </row>
        <row r="64">
          <cell r="C64" t="str">
            <v>sale_term_from</v>
          </cell>
          <cell r="D64" t="str">
            <v>varchar</v>
          </cell>
          <cell r="E64">
            <v>20</v>
          </cell>
          <cell r="L64" t="str">
            <v>L(20)Eq</v>
          </cell>
          <cell r="P64" t="str">
            <v>商品</v>
          </cell>
          <cell r="Q64" t="str">
            <v>販売期間（FROM）</v>
          </cell>
        </row>
        <row r="65">
          <cell r="C65" t="str">
            <v>sale_term_to</v>
          </cell>
          <cell r="D65" t="str">
            <v>varchar</v>
          </cell>
          <cell r="E65">
            <v>20</v>
          </cell>
          <cell r="L65" t="str">
            <v>L(20)Eq</v>
          </cell>
          <cell r="P65" t="str">
            <v>商品</v>
          </cell>
          <cell r="Q65" t="str">
            <v>販売期間（TO）</v>
          </cell>
        </row>
        <row r="66">
          <cell r="C66" t="str">
            <v>sale_date</v>
          </cell>
          <cell r="D66" t="str">
            <v>varchar</v>
          </cell>
          <cell r="E66">
            <v>20</v>
          </cell>
          <cell r="L66" t="str">
            <v>L(20)Eq</v>
          </cell>
          <cell r="O66" t="str">
            <v>発売日</v>
          </cell>
          <cell r="P66" t="str">
            <v>商品</v>
          </cell>
          <cell r="Q66" t="str">
            <v>発売日</v>
          </cell>
          <cell r="T66" t="str">
            <v>YYYYMMDDHHMMSSのStringでセット</v>
          </cell>
        </row>
        <row r="67">
          <cell r="C67" t="str">
            <v>sale_date_disp</v>
          </cell>
          <cell r="D67" t="str">
            <v>nvarchar</v>
          </cell>
          <cell r="E67">
            <v>100</v>
          </cell>
          <cell r="L67" t="str">
            <v>L(100)Eq</v>
          </cell>
          <cell r="P67" t="str">
            <v>商品</v>
          </cell>
          <cell r="Q67" t="str">
            <v>「近日発売」などの文言をセット</v>
          </cell>
        </row>
        <row r="68">
          <cell r="C68" t="str">
            <v>disp_priority</v>
          </cell>
          <cell r="P68" t="str">
            <v>商品</v>
          </cell>
          <cell r="Q68" t="str">
            <v>表示優先度</v>
          </cell>
        </row>
        <row r="69">
          <cell r="C69" t="str">
            <v>recycling_flag</v>
          </cell>
          <cell r="D69" t="str">
            <v>varchar</v>
          </cell>
          <cell r="E69">
            <v>40</v>
          </cell>
          <cell r="L69" t="str">
            <v>L(40)S[USED]Eq</v>
          </cell>
          <cell r="P69" t="str">
            <v>商品</v>
          </cell>
          <cell r="Q69" t="str">
            <v>中古区分</v>
          </cell>
          <cell r="T69" t="str">
            <v>中古：USED</v>
          </cell>
        </row>
        <row r="70">
          <cell r="C70" t="str">
            <v>digital_flg</v>
          </cell>
          <cell r="D70" t="str">
            <v>varchar</v>
          </cell>
          <cell r="E70">
            <v>16</v>
          </cell>
          <cell r="L70" t="str">
            <v>L(16)Eq</v>
          </cell>
          <cell r="P70" t="str">
            <v>商品</v>
          </cell>
          <cell r="Q70" t="str">
            <v>ＥＳＤ区分</v>
          </cell>
          <cell r="T70" t="str">
            <v>ＥＳＤ区分</v>
          </cell>
        </row>
        <row r="71">
          <cell r="C71" t="str">
            <v>library_flg</v>
          </cell>
          <cell r="D71" t="str">
            <v>varchar</v>
          </cell>
          <cell r="E71">
            <v>16</v>
          </cell>
          <cell r="L71" t="str">
            <v>L(16)Eq</v>
          </cell>
          <cell r="P71" t="str">
            <v>商品</v>
          </cell>
          <cell r="Q71" t="str">
            <v>－</v>
          </cell>
        </row>
        <row r="72">
          <cell r="C72" t="str">
            <v>sale_flg</v>
          </cell>
          <cell r="D72" t="str">
            <v>varchar</v>
          </cell>
          <cell r="E72">
            <v>16</v>
          </cell>
          <cell r="L72" t="str">
            <v>L(16)Eq</v>
          </cell>
          <cell r="P72" t="str">
            <v>商品</v>
          </cell>
          <cell r="Q72" t="str">
            <v xml:space="preserve">販売可否区分
</v>
          </cell>
          <cell r="T72" t="str">
            <v>販売中：OPEN　販売中止：CLOSE　販売保留：SHOW</v>
          </cell>
        </row>
        <row r="73">
          <cell r="C73" t="str">
            <v>promotion_goods_flg</v>
          </cell>
          <cell r="D73" t="str">
            <v>varchar</v>
          </cell>
          <cell r="E73">
            <v>40</v>
          </cell>
          <cell r="L73" t="str">
            <v>L(40)Eq</v>
          </cell>
          <cell r="P73" t="str">
            <v>計算</v>
          </cell>
          <cell r="Q73" t="str">
            <v>－</v>
          </cell>
        </row>
        <row r="74">
          <cell r="C74" t="str">
            <v>sales_count</v>
          </cell>
          <cell r="D74" t="str">
            <v>int</v>
          </cell>
          <cell r="E74">
            <v>4</v>
          </cell>
          <cell r="L74" t="str">
            <v>0Eq</v>
          </cell>
          <cell r="P74" t="str">
            <v>計算</v>
          </cell>
          <cell r="Q74" t="str">
            <v>売り上げ商品数（日）</v>
          </cell>
          <cell r="T74" t="str">
            <v>売れている数。受注明細からバッチで値を格納。</v>
          </cell>
        </row>
        <row r="75">
          <cell r="C75" t="str">
            <v>sales_price_amount</v>
          </cell>
          <cell r="D75" t="str">
            <v>bigint</v>
          </cell>
          <cell r="E75">
            <v>8</v>
          </cell>
          <cell r="L75" t="str">
            <v>0Eq</v>
          </cell>
          <cell r="P75" t="str">
            <v>計算</v>
          </cell>
          <cell r="Q75" t="str">
            <v>売り上げ金額（日）</v>
          </cell>
          <cell r="T75" t="str">
            <v>売り上げ総金額</v>
          </cell>
        </row>
        <row r="76">
          <cell r="C76" t="str">
            <v>sales_count2</v>
          </cell>
          <cell r="D76" t="str">
            <v>int</v>
          </cell>
          <cell r="E76">
            <v>4</v>
          </cell>
          <cell r="L76" t="str">
            <v>0Eq</v>
          </cell>
          <cell r="P76" t="str">
            <v>計算</v>
          </cell>
          <cell r="Q76" t="str">
            <v>売り上げ商品数２（週）</v>
          </cell>
          <cell r="T76" t="str">
            <v>売れている数。受注明細からバッチで値を格納。</v>
          </cell>
        </row>
        <row r="77">
          <cell r="C77" t="str">
            <v>sales_price_amount2</v>
          </cell>
          <cell r="D77" t="str">
            <v>bigint</v>
          </cell>
          <cell r="E77">
            <v>8</v>
          </cell>
          <cell r="L77" t="str">
            <v>0Eq</v>
          </cell>
          <cell r="P77" t="str">
            <v>計算</v>
          </cell>
          <cell r="Q77" t="str">
            <v>売り上げ金額２（週）</v>
          </cell>
          <cell r="T77" t="str">
            <v>売り上げ総金額</v>
          </cell>
        </row>
        <row r="78">
          <cell r="C78" t="str">
            <v>sales_count3</v>
          </cell>
          <cell r="D78" t="str">
            <v>int</v>
          </cell>
          <cell r="E78">
            <v>4</v>
          </cell>
          <cell r="L78" t="str">
            <v>0Eq</v>
          </cell>
          <cell r="P78" t="str">
            <v>計算</v>
          </cell>
          <cell r="Q78" t="str">
            <v>売り上げ商品数３（月）</v>
          </cell>
          <cell r="T78" t="str">
            <v>売れている数。受注明細からバッチで値を格納。</v>
          </cell>
        </row>
        <row r="79">
          <cell r="C79" t="str">
            <v>sales_price_amount3</v>
          </cell>
          <cell r="D79" t="str">
            <v>bigint</v>
          </cell>
          <cell r="E79">
            <v>8</v>
          </cell>
          <cell r="L79" t="str">
            <v>0Eq</v>
          </cell>
          <cell r="P79" t="str">
            <v>計算</v>
          </cell>
          <cell r="Q79" t="str">
            <v>売り上げ金額３（月）</v>
          </cell>
          <cell r="T79" t="str">
            <v>売り上げ総金額</v>
          </cell>
        </row>
        <row r="80">
          <cell r="C80" t="str">
            <v>sales_count4</v>
          </cell>
          <cell r="D80" t="str">
            <v>int</v>
          </cell>
          <cell r="E80">
            <v>4</v>
          </cell>
          <cell r="L80" t="str">
            <v>0Eq</v>
          </cell>
          <cell r="P80" t="str">
            <v>計算</v>
          </cell>
          <cell r="Q80" t="str">
            <v>－</v>
          </cell>
          <cell r="T80" t="str">
            <v>売れている数。受注明細からバッチで値を格納。</v>
          </cell>
        </row>
        <row r="81">
          <cell r="C81" t="str">
            <v>sales_price_amount4</v>
          </cell>
          <cell r="D81" t="str">
            <v>bigint</v>
          </cell>
          <cell r="E81">
            <v>8</v>
          </cell>
          <cell r="L81" t="str">
            <v>0Eq</v>
          </cell>
          <cell r="P81" t="str">
            <v>計算</v>
          </cell>
          <cell r="Q81" t="str">
            <v>－</v>
          </cell>
          <cell r="T81" t="str">
            <v>売り上げ総金額</v>
          </cell>
        </row>
        <row r="82">
          <cell r="C82" t="str">
            <v>sales_count5</v>
          </cell>
          <cell r="D82" t="str">
            <v>int</v>
          </cell>
          <cell r="E82">
            <v>4</v>
          </cell>
          <cell r="L82" t="str">
            <v>0Eq</v>
          </cell>
          <cell r="P82" t="str">
            <v>計算</v>
          </cell>
          <cell r="Q82" t="str">
            <v>－</v>
          </cell>
          <cell r="T82" t="str">
            <v>売れている数。受注明細からバッチで値を格納。</v>
          </cell>
        </row>
        <row r="83">
          <cell r="C83" t="str">
            <v>sales_price_amount5</v>
          </cell>
          <cell r="D83" t="str">
            <v>bigint</v>
          </cell>
          <cell r="E83">
            <v>8</v>
          </cell>
          <cell r="L83" t="str">
            <v>0Eq</v>
          </cell>
          <cell r="P83" t="str">
            <v>計算</v>
          </cell>
          <cell r="Q83" t="str">
            <v>－</v>
          </cell>
          <cell r="T83" t="str">
            <v>売り上げ総金額</v>
          </cell>
        </row>
        <row r="84">
          <cell r="C84" t="str">
            <v>sales_history_info</v>
          </cell>
          <cell r="D84" t="str">
            <v>text</v>
          </cell>
          <cell r="E84">
            <v>16</v>
          </cell>
          <cell r="L84" t="str">
            <v>Eq</v>
          </cell>
          <cell r="P84" t="str">
            <v>計算</v>
          </cell>
          <cell r="Q84" t="str">
            <v>売上げ履歴</v>
          </cell>
        </row>
        <row r="85">
          <cell r="C85" t="str">
            <v>variation_flg</v>
          </cell>
          <cell r="D85" t="str">
            <v>varchar</v>
          </cell>
          <cell r="E85">
            <v>16</v>
          </cell>
          <cell r="L85" t="str">
            <v>L(16)S[V]Eq</v>
          </cell>
          <cell r="P85" t="str">
            <v>商品</v>
          </cell>
          <cell r="Q85" t="str">
            <v>－</v>
          </cell>
          <cell r="T85" t="str">
            <v>バリエーションは本マスターにて管理
（１商品５バリーションの場合は本マスターに６レコード）
バリエーションあり：V　なし：空白</v>
          </cell>
        </row>
        <row r="86">
          <cell r="C86" t="str">
            <v>variation_parent_sku</v>
          </cell>
          <cell r="D86" t="str">
            <v>varchar</v>
          </cell>
          <cell r="E86">
            <v>40</v>
          </cell>
          <cell r="L86" t="str">
            <v>L(40)Eq</v>
          </cell>
          <cell r="P86" t="str">
            <v>商品</v>
          </cell>
          <cell r="Q86" t="str">
            <v>－</v>
          </cell>
          <cell r="T86" t="str">
            <v>バリエーションの子商品の場合、親商品SKUを入れておく</v>
          </cell>
        </row>
        <row r="87">
          <cell r="C87" t="str">
            <v>product_code_1</v>
          </cell>
          <cell r="D87" t="str">
            <v>varchar</v>
          </cell>
          <cell r="E87">
            <v>40</v>
          </cell>
          <cell r="L87" t="str">
            <v>L(40)Eq</v>
          </cell>
          <cell r="O87" t="str">
            <v>JANコード・商品番号</v>
          </cell>
          <cell r="P87" t="str">
            <v>商品</v>
          </cell>
          <cell r="Q87" t="str">
            <v>JANコード</v>
          </cell>
          <cell r="R87" t="str">
            <v>IX_product_code_1</v>
          </cell>
        </row>
        <row r="88">
          <cell r="C88" t="str">
            <v>product_code_2</v>
          </cell>
          <cell r="D88" t="str">
            <v>varchar</v>
          </cell>
          <cell r="E88">
            <v>40</v>
          </cell>
          <cell r="L88" t="str">
            <v>L(40)Eq</v>
          </cell>
          <cell r="O88" t="str">
            <v>商品名・型番</v>
          </cell>
          <cell r="P88" t="str">
            <v>商品</v>
          </cell>
          <cell r="Q88" t="str">
            <v>型番</v>
          </cell>
        </row>
        <row r="89">
          <cell r="C89" t="str">
            <v>product_picture_path_1</v>
          </cell>
          <cell r="D89" t="str">
            <v>nvarchar</v>
          </cell>
          <cell r="E89">
            <v>255</v>
          </cell>
          <cell r="L89" t="str">
            <v>L(255)Eq</v>
          </cell>
          <cell r="P89" t="str">
            <v>商品</v>
          </cell>
          <cell r="Q89" t="str">
            <v>商品画像パス１（リスト）</v>
          </cell>
        </row>
        <row r="90">
          <cell r="C90" t="str">
            <v>product_picture_path_2</v>
          </cell>
          <cell r="D90" t="str">
            <v>nvarchar</v>
          </cell>
          <cell r="E90">
            <v>255</v>
          </cell>
          <cell r="L90" t="str">
            <v>L(255)Eq</v>
          </cell>
          <cell r="P90" t="str">
            <v>商品</v>
          </cell>
          <cell r="Q90" t="str">
            <v>商品画像パス２（足跡）</v>
          </cell>
        </row>
        <row r="91">
          <cell r="C91" t="str">
            <v>product_picture_path_3</v>
          </cell>
          <cell r="D91" t="str">
            <v>nvarchar</v>
          </cell>
          <cell r="E91">
            <v>255</v>
          </cell>
          <cell r="L91" t="str">
            <v>L(255)Eq</v>
          </cell>
          <cell r="P91" t="str">
            <v>商品</v>
          </cell>
          <cell r="Q91" t="str">
            <v>商品画像パス３（詳細）</v>
          </cell>
        </row>
        <row r="92">
          <cell r="C92" t="str">
            <v>product_picture_path_4</v>
          </cell>
          <cell r="D92" t="str">
            <v>nvarchar</v>
          </cell>
          <cell r="E92">
            <v>255</v>
          </cell>
          <cell r="L92" t="str">
            <v>L(255)Eq</v>
          </cell>
          <cell r="P92" t="str">
            <v>商品</v>
          </cell>
          <cell r="Q92" t="str">
            <v>－</v>
          </cell>
        </row>
        <row r="93">
          <cell r="C93" t="str">
            <v>product_picture_path_5</v>
          </cell>
          <cell r="D93" t="str">
            <v>nvarchar</v>
          </cell>
          <cell r="E93">
            <v>255</v>
          </cell>
          <cell r="L93" t="str">
            <v>L(255)Eq</v>
          </cell>
          <cell r="P93" t="str">
            <v>商品</v>
          </cell>
          <cell r="Q93" t="str">
            <v>－</v>
          </cell>
        </row>
        <row r="94">
          <cell r="C94" t="str">
            <v>product_picture_path_6</v>
          </cell>
          <cell r="D94" t="str">
            <v>nvarchar</v>
          </cell>
          <cell r="E94">
            <v>255</v>
          </cell>
          <cell r="L94" t="str">
            <v>L(255)Eq</v>
          </cell>
          <cell r="P94" t="str">
            <v>商品</v>
          </cell>
          <cell r="Q94" t="str">
            <v>－</v>
          </cell>
        </row>
        <row r="95">
          <cell r="C95" t="str">
            <v>product_picture_path_7</v>
          </cell>
          <cell r="D95" t="str">
            <v>nvarchar</v>
          </cell>
          <cell r="E95">
            <v>255</v>
          </cell>
          <cell r="L95" t="str">
            <v>L(255)Eq</v>
          </cell>
          <cell r="P95" t="str">
            <v>商品</v>
          </cell>
          <cell r="Q95" t="str">
            <v>－</v>
          </cell>
        </row>
        <row r="96">
          <cell r="C96" t="str">
            <v>product_picture_path_8</v>
          </cell>
          <cell r="D96" t="str">
            <v>nvarchar</v>
          </cell>
          <cell r="E96">
            <v>255</v>
          </cell>
          <cell r="L96" t="str">
            <v>L(255)Eq</v>
          </cell>
          <cell r="P96" t="str">
            <v>商品</v>
          </cell>
          <cell r="Q96" t="str">
            <v>－</v>
          </cell>
        </row>
        <row r="97">
          <cell r="C97" t="str">
            <v>product_picture_path_9</v>
          </cell>
          <cell r="D97" t="str">
            <v>nvarchar</v>
          </cell>
          <cell r="E97">
            <v>255</v>
          </cell>
          <cell r="L97" t="str">
            <v>L(255)Eq</v>
          </cell>
          <cell r="P97" t="str">
            <v>商品</v>
          </cell>
          <cell r="Q97" t="str">
            <v>－</v>
          </cell>
        </row>
        <row r="98">
          <cell r="C98" t="str">
            <v>product_picture_path_10</v>
          </cell>
          <cell r="D98" t="str">
            <v>nvarchar</v>
          </cell>
          <cell r="E98">
            <v>255</v>
          </cell>
          <cell r="L98" t="str">
            <v>L(255)Eq</v>
          </cell>
          <cell r="P98" t="str">
            <v>商品</v>
          </cell>
          <cell r="Q98" t="str">
            <v>その他画像表示
（カンマ区切り）</v>
          </cell>
        </row>
        <row r="99">
          <cell r="C99" t="str">
            <v>property1</v>
          </cell>
          <cell r="D99" t="str">
            <v>nvarchar</v>
          </cell>
          <cell r="E99">
            <v>100</v>
          </cell>
          <cell r="L99" t="str">
            <v>L(100)Eq</v>
          </cell>
          <cell r="P99" t="str">
            <v>商品</v>
          </cell>
          <cell r="Q99" t="str">
            <v>アイコン情報</v>
          </cell>
          <cell r="T99" t="str">
            <v>アイコン種類に紐づく画像パスはフロントで管理</v>
          </cell>
        </row>
        <row r="100">
          <cell r="C100" t="str">
            <v>property2</v>
          </cell>
          <cell r="D100" t="str">
            <v>nvarchar</v>
          </cell>
          <cell r="E100">
            <v>100</v>
          </cell>
          <cell r="L100" t="str">
            <v>L(100)Eq</v>
          </cell>
          <cell r="P100" t="str">
            <v>商品</v>
          </cell>
          <cell r="Q100" t="str">
            <v>ワランティコード</v>
          </cell>
        </row>
        <row r="101">
          <cell r="C101" t="str">
            <v>property3</v>
          </cell>
          <cell r="D101" t="str">
            <v>nvarchar</v>
          </cell>
          <cell r="E101">
            <v>100</v>
          </cell>
          <cell r="L101" t="str">
            <v>L(100)Eq</v>
          </cell>
          <cell r="P101" t="str">
            <v>商品</v>
          </cell>
          <cell r="Q101" t="str">
            <v>ワランティ有効フラグ</v>
          </cell>
          <cell r="T101" t="str">
            <v>ACTIVE：有効
(Empty)：無効</v>
          </cell>
        </row>
        <row r="102">
          <cell r="C102" t="str">
            <v>status1</v>
          </cell>
          <cell r="D102" t="str">
            <v>nvarchar</v>
          </cell>
          <cell r="E102">
            <v>100</v>
          </cell>
          <cell r="L102" t="str">
            <v>L(100)Eq</v>
          </cell>
          <cell r="P102" t="str">
            <v>商品</v>
          </cell>
          <cell r="Q102" t="str">
            <v>販促品区分</v>
          </cell>
        </row>
        <row r="103">
          <cell r="C103" t="str">
            <v>status2</v>
          </cell>
          <cell r="D103" t="str">
            <v>nvarchar</v>
          </cell>
          <cell r="E103">
            <v>100</v>
          </cell>
          <cell r="L103" t="str">
            <v>L(100)Eq</v>
          </cell>
          <cell r="P103" t="str">
            <v>商品</v>
          </cell>
          <cell r="Q103" t="str">
            <v>ＡＳ取込区分</v>
          </cell>
          <cell r="T103" t="str">
            <v>○</v>
          </cell>
        </row>
        <row r="104">
          <cell r="C104" t="str">
            <v>status3</v>
          </cell>
          <cell r="D104" t="str">
            <v>nvarchar</v>
          </cell>
          <cell r="E104">
            <v>100</v>
          </cell>
          <cell r="L104" t="str">
            <v>L(100)Eq</v>
          </cell>
          <cell r="P104" t="str">
            <v>商品</v>
          </cell>
          <cell r="Q104" t="str">
            <v>アダルト区分</v>
          </cell>
        </row>
        <row r="105">
          <cell r="C105" t="str">
            <v>genre1</v>
          </cell>
          <cell r="D105" t="str">
            <v>text</v>
          </cell>
          <cell r="E105">
            <v>16</v>
          </cell>
          <cell r="L105" t="str">
            <v>L(255)Eq</v>
          </cell>
          <cell r="P105" t="str">
            <v>商品</v>
          </cell>
          <cell r="Q105" t="str">
            <v>商品ジャンル（親含む）</v>
          </cell>
          <cell r="T105" t="str">
            <v>商品ジャンル（親含む）</v>
          </cell>
        </row>
        <row r="106">
          <cell r="C106" t="str">
            <v>genre2</v>
          </cell>
          <cell r="D106" t="str">
            <v>varchar</v>
          </cell>
          <cell r="E106">
            <v>255</v>
          </cell>
          <cell r="L106" t="str">
            <v>L(255)Eq</v>
          </cell>
          <cell r="P106" t="str">
            <v>商品</v>
          </cell>
          <cell r="Q106" t="str">
            <v>商品ジャンル（末端だけ）</v>
          </cell>
          <cell r="T106" t="str">
            <v>商品ジャンル（末端だけ）</v>
          </cell>
        </row>
        <row r="107">
          <cell r="C107" t="str">
            <v>genre3</v>
          </cell>
          <cell r="D107" t="str">
            <v>varchar</v>
          </cell>
          <cell r="E107">
            <v>255</v>
          </cell>
          <cell r="L107" t="str">
            <v>L(255)Eq</v>
          </cell>
          <cell r="P107" t="str">
            <v>商品</v>
          </cell>
          <cell r="Q107" t="str">
            <v>商品ジャンルメイン（親含む）</v>
          </cell>
          <cell r="R107" t="str">
            <v>IX_genre3</v>
          </cell>
          <cell r="S107" t="str">
            <v>お気に入りの検索で使用</v>
          </cell>
          <cell r="T107" t="str">
            <v>商品ジャンルメイン（親含む）</v>
          </cell>
        </row>
        <row r="108">
          <cell r="C108" t="str">
            <v>main_genre</v>
          </cell>
          <cell r="D108" t="str">
            <v>varchar</v>
          </cell>
          <cell r="E108">
            <v>50</v>
          </cell>
          <cell r="L108" t="str">
            <v>L(50)Eq</v>
          </cell>
          <cell r="P108" t="str">
            <v>商品</v>
          </cell>
          <cell r="Q108" t="str">
            <v>商品ジャンルメイン（末端だけ）</v>
          </cell>
          <cell r="T108" t="str">
            <v>商品ジャンルメイン（末端だけ）</v>
          </cell>
        </row>
        <row r="109">
          <cell r="C109" t="str">
            <v>search_genre_1</v>
          </cell>
          <cell r="D109" t="str">
            <v>varchar</v>
          </cell>
          <cell r="E109">
            <v>255</v>
          </cell>
          <cell r="L109" t="str">
            <v>L(255)Eq</v>
          </cell>
          <cell r="P109" t="str">
            <v>商品</v>
          </cell>
          <cell r="R109" t="str">
            <v>IX_search_genre_1</v>
          </cell>
        </row>
        <row r="110">
          <cell r="C110" t="str">
            <v>search_genre_2</v>
          </cell>
          <cell r="D110" t="str">
            <v>varchar</v>
          </cell>
          <cell r="E110">
            <v>255</v>
          </cell>
          <cell r="L110" t="str">
            <v>L(255)Eq</v>
          </cell>
          <cell r="P110" t="str">
            <v>商品</v>
          </cell>
          <cell r="R110" t="str">
            <v>IX_search_genre_2</v>
          </cell>
        </row>
        <row r="111">
          <cell r="C111" t="str">
            <v>search_genre_3</v>
          </cell>
          <cell r="D111" t="str">
            <v>varchar</v>
          </cell>
          <cell r="E111">
            <v>255</v>
          </cell>
          <cell r="L111" t="str">
            <v>L(255)Eq</v>
          </cell>
          <cell r="P111" t="str">
            <v>商品</v>
          </cell>
          <cell r="R111" t="str">
            <v>IX_search_genre_3</v>
          </cell>
        </row>
        <row r="112">
          <cell r="C112" t="str">
            <v>search_genre_4</v>
          </cell>
          <cell r="D112" t="str">
            <v>varchar</v>
          </cell>
          <cell r="E112">
            <v>255</v>
          </cell>
          <cell r="L112" t="str">
            <v>L(255)Eq</v>
          </cell>
          <cell r="P112" t="str">
            <v>商品</v>
          </cell>
          <cell r="R112" t="str">
            <v>IX_search_genre_4</v>
          </cell>
        </row>
        <row r="113">
          <cell r="C113" t="str">
            <v>search_genre_5</v>
          </cell>
          <cell r="D113" t="str">
            <v>varchar</v>
          </cell>
          <cell r="E113">
            <v>255</v>
          </cell>
          <cell r="L113" t="str">
            <v>L(255)Eq</v>
          </cell>
          <cell r="P113" t="str">
            <v>商品</v>
          </cell>
          <cell r="R113" t="str">
            <v>IX_search_genre_5</v>
          </cell>
        </row>
        <row r="114">
          <cell r="C114" t="str">
            <v>check_stock_type</v>
          </cell>
          <cell r="D114" t="str">
            <v>varchar</v>
          </cell>
          <cell r="E114">
            <v>50</v>
          </cell>
          <cell r="L114" t="str">
            <v>L(50)Eq</v>
          </cell>
          <cell r="P114" t="str">
            <v>商品</v>
          </cell>
          <cell r="Q114" t="str">
            <v>－</v>
          </cell>
        </row>
        <row r="115">
          <cell r="C115" t="str">
            <v>optional_data_xml</v>
          </cell>
          <cell r="D115" t="str">
            <v>text</v>
          </cell>
          <cell r="E115">
            <v>16</v>
          </cell>
          <cell r="L115" t="str">
            <v>Eq</v>
          </cell>
          <cell r="P115" t="str">
            <v>編集</v>
          </cell>
          <cell r="Q115" t="str">
            <v>表示項目補足情報</v>
          </cell>
        </row>
        <row r="116">
          <cell r="C116" t="str">
            <v>del_flag</v>
          </cell>
          <cell r="D116" t="str">
            <v>varchar</v>
          </cell>
          <cell r="E116">
            <v>10</v>
          </cell>
          <cell r="L116" t="str">
            <v>L(10)S[DEL]Eq</v>
          </cell>
          <cell r="P116" t="str">
            <v>商品</v>
          </cell>
          <cell r="Q116" t="str">
            <v>削除フラグ</v>
          </cell>
          <cell r="T116" t="str">
            <v>削除「DEL」</v>
          </cell>
        </row>
        <row r="117">
          <cell r="C117" t="str">
            <v>batch_flag</v>
          </cell>
          <cell r="D117" t="str">
            <v>varchar</v>
          </cell>
          <cell r="E117">
            <v>20</v>
          </cell>
          <cell r="L117" t="str">
            <v>L(20)Eq</v>
          </cell>
          <cell r="P117" t="str">
            <v>編集</v>
          </cell>
          <cell r="Q117" t="str">
            <v>バッチ用フラグ</v>
          </cell>
          <cell r="T117" t="str">
            <v>バッチ処理でのみ使用する</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更新履歴"/>
      <sheetName val="インデックス一覧"/>
      <sheetName val="ＳＣＩＤ管理"/>
      <sheetName val="ファイル管理マスタ"/>
      <sheetName val="発注計画テーブル"/>
      <sheetName val="発注明細"/>
      <sheetName val="法人管理テーブル "/>
      <sheetName val="受注マスタ"/>
      <sheetName val="受注マスタ（明細）"/>
      <sheetName val="商品マスタ"/>
      <sheetName val="在庫マスタ"/>
      <sheetName val="メーカーマスタ"/>
      <sheetName val="スケジュール管理テーブル"/>
      <sheetName val="商品グループ属性マスタ"/>
      <sheetName val="分類マスタ"/>
      <sheetName val="コンテンツ管理マスタ"/>
      <sheetName val="（事前登録）コンテンツ管理"/>
      <sheetName val="コンテンツテンプレートマスタ"/>
      <sheetName val="店舗管理テーブル"/>
      <sheetName val="店舗グループ化マスタ"/>
      <sheetName val="オペレータ管理"/>
      <sheetName val="キャッシュ"/>
      <sheetName val="採番マスタ"/>
      <sheetName val="バッチ管理マスタ"/>
      <sheetName val="検索履歴テーブル"/>
      <sheetName val="オペレーションログテーブル"/>
      <sheetName val="ワークフローマスタ"/>
      <sheetName val="ワークフローテーブル"/>
      <sheetName val="メールアカウントマスタ"/>
      <sheetName val="メール文書テーブル"/>
      <sheetName val="郵便番号マスタ"/>
      <sheetName val="価格コントロールテーブル"/>
      <sheetName val="与信管理テーブル"/>
      <sheetName val="セールス管理テーブル"/>
      <sheetName val="商品検索用テーブル"/>
      <sheetName val="買い物かごマスタ"/>
      <sheetName val="CHESTテーブル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8">
          <cell r="C8" t="str">
            <v>フィールド名（英語）</v>
          </cell>
          <cell r="D8" t="str">
            <v>Ｔｙｐｅ</v>
          </cell>
          <cell r="E8" t="str">
            <v>カラム数</v>
          </cell>
          <cell r="F8" t="str">
            <v>Ｎｕｌｌ</v>
          </cell>
          <cell r="G8" t="str">
            <v>Ｄｅｆａｕｌｔ</v>
          </cell>
          <cell r="H8" t="str">
            <v>№</v>
          </cell>
          <cell r="I8" t="str">
            <v>ＰＫ</v>
          </cell>
          <cell r="J8" t="str">
            <v>UK</v>
          </cell>
          <cell r="K8" t="str">
            <v>ＦＫ</v>
          </cell>
          <cell r="L8" t="str">
            <v>Cmd</v>
          </cell>
          <cell r="M8" t="str">
            <v>使用</v>
          </cell>
          <cell r="N8" t="str">
            <v>フルテキスト</v>
          </cell>
          <cell r="O8" t="str">
            <v>検索バー</v>
          </cell>
          <cell r="P8" t="str">
            <v>詳細検索</v>
          </cell>
          <cell r="Q8" t="str">
            <v>ソース</v>
          </cell>
          <cell r="R8" t="str">
            <v>使用方法</v>
          </cell>
          <cell r="S8" t="str">
            <v>インデックス</v>
          </cell>
          <cell r="T8" t="str">
            <v>備考(FW)</v>
          </cell>
        </row>
        <row r="9">
          <cell r="C9" t="str">
            <v>dept_id</v>
          </cell>
          <cell r="D9" t="str">
            <v>varchar</v>
          </cell>
          <cell r="E9">
            <v>8</v>
          </cell>
          <cell r="L9" t="str">
            <v>NL(8)Eq</v>
          </cell>
          <cell r="M9" t="str">
            <v>○</v>
          </cell>
          <cell r="Q9" t="str">
            <v>商品</v>
          </cell>
        </row>
        <row r="10">
          <cell r="C10" t="str">
            <v>pfid</v>
          </cell>
          <cell r="D10" t="str">
            <v>varchar</v>
          </cell>
          <cell r="E10">
            <v>40</v>
          </cell>
          <cell r="K10" t="str">
            <v>IX_product_search_pfid</v>
          </cell>
          <cell r="L10" t="str">
            <v>L(40)Eq</v>
          </cell>
          <cell r="M10" t="str">
            <v>○</v>
          </cell>
          <cell r="N10" t="str">
            <v>English</v>
          </cell>
          <cell r="Q10" t="str">
            <v>商品</v>
          </cell>
        </row>
        <row r="11">
          <cell r="C11" t="str">
            <v>sku</v>
          </cell>
          <cell r="D11" t="str">
            <v>varchar</v>
          </cell>
          <cell r="E11">
            <v>40</v>
          </cell>
          <cell r="I11" t="str">
            <v>○</v>
          </cell>
          <cell r="L11" t="str">
            <v>NL(40)Eq</v>
          </cell>
          <cell r="M11" t="str">
            <v>○</v>
          </cell>
          <cell r="Q11" t="str">
            <v>商品</v>
          </cell>
        </row>
        <row r="12">
          <cell r="C12" t="str">
            <v>stock_id</v>
          </cell>
          <cell r="D12" t="str">
            <v>varchar</v>
          </cell>
          <cell r="E12">
            <v>40</v>
          </cell>
          <cell r="L12" t="str">
            <v>L(40)Eq</v>
          </cell>
          <cell r="M12" t="str">
            <v>○</v>
          </cell>
          <cell r="Q12" t="str">
            <v>在庫</v>
          </cell>
        </row>
        <row r="13">
          <cell r="C13" t="str">
            <v>warehouse_id</v>
          </cell>
          <cell r="D13" t="str">
            <v>varchar</v>
          </cell>
          <cell r="E13">
            <v>40</v>
          </cell>
          <cell r="L13" t="str">
            <v>L(40)Eq</v>
          </cell>
          <cell r="M13" t="str">
            <v>○</v>
          </cell>
          <cell r="Q13" t="str">
            <v>在庫</v>
          </cell>
        </row>
        <row r="14">
          <cell r="C14" t="str">
            <v>product_name_1</v>
          </cell>
          <cell r="D14" t="str">
            <v>nvarchar</v>
          </cell>
          <cell r="E14">
            <v>100</v>
          </cell>
          <cell r="L14" t="str">
            <v>L(100)Eq</v>
          </cell>
          <cell r="M14" t="str">
            <v>○</v>
          </cell>
          <cell r="N14" t="str">
            <v>Japanese</v>
          </cell>
          <cell r="Q14" t="str">
            <v>商品</v>
          </cell>
        </row>
        <row r="15">
          <cell r="C15" t="str">
            <v>product_name_2</v>
          </cell>
          <cell r="D15" t="str">
            <v>nvarchar</v>
          </cell>
          <cell r="E15">
            <v>100</v>
          </cell>
          <cell r="L15" t="str">
            <v>L(100)Eq</v>
          </cell>
          <cell r="M15" t="str">
            <v>○</v>
          </cell>
          <cell r="Q15" t="str">
            <v>商品</v>
          </cell>
        </row>
        <row r="16">
          <cell r="C16" t="str">
            <v>product_name_3</v>
          </cell>
          <cell r="D16" t="str">
            <v>nvarchar</v>
          </cell>
          <cell r="E16">
            <v>100</v>
          </cell>
          <cell r="L16" t="str">
            <v>L(100)Eq</v>
          </cell>
          <cell r="M16" t="str">
            <v>○</v>
          </cell>
          <cell r="Q16" t="str">
            <v>商品</v>
          </cell>
        </row>
        <row r="17">
          <cell r="C17" t="str">
            <v>product_name_4</v>
          </cell>
          <cell r="D17" t="str">
            <v>nvarchar</v>
          </cell>
          <cell r="E17">
            <v>100</v>
          </cell>
          <cell r="L17" t="str">
            <v>L(100)Eq</v>
          </cell>
          <cell r="M17" t="str">
            <v>○</v>
          </cell>
          <cell r="Q17" t="str">
            <v>商品</v>
          </cell>
        </row>
        <row r="18">
          <cell r="C18" t="str">
            <v>product_name_5</v>
          </cell>
          <cell r="D18" t="str">
            <v>nvarchar</v>
          </cell>
          <cell r="E18">
            <v>100</v>
          </cell>
          <cell r="L18" t="str">
            <v>L(100)Eq</v>
          </cell>
          <cell r="M18" t="str">
            <v>○</v>
          </cell>
          <cell r="Q18" t="str">
            <v>商品</v>
          </cell>
        </row>
        <row r="19">
          <cell r="C19" t="str">
            <v>product_name_6</v>
          </cell>
          <cell r="D19" t="str">
            <v>nvarchar</v>
          </cell>
          <cell r="E19">
            <v>100</v>
          </cell>
          <cell r="L19" t="str">
            <v>L(100)Eq</v>
          </cell>
          <cell r="M19" t="str">
            <v>○</v>
          </cell>
          <cell r="N19" t="str">
            <v>Japanese</v>
          </cell>
          <cell r="Q19" t="str">
            <v>商品</v>
          </cell>
        </row>
        <row r="20">
          <cell r="C20" t="str">
            <v>product_name_7</v>
          </cell>
          <cell r="D20" t="str">
            <v>nvarchar</v>
          </cell>
          <cell r="E20">
            <v>100</v>
          </cell>
          <cell r="L20" t="str">
            <v>L(100)Eq</v>
          </cell>
          <cell r="M20" t="str">
            <v>-</v>
          </cell>
          <cell r="Q20" t="str">
            <v>商品</v>
          </cell>
        </row>
        <row r="21">
          <cell r="C21" t="str">
            <v>product_name_8</v>
          </cell>
          <cell r="D21" t="str">
            <v>nvarchar</v>
          </cell>
          <cell r="E21">
            <v>100</v>
          </cell>
          <cell r="L21" t="str">
            <v>L(100)Eq</v>
          </cell>
          <cell r="M21" t="str">
            <v>-</v>
          </cell>
          <cell r="Q21" t="str">
            <v>商品</v>
          </cell>
        </row>
        <row r="22">
          <cell r="C22" t="str">
            <v>product_name_9</v>
          </cell>
          <cell r="D22" t="str">
            <v>nvarchar</v>
          </cell>
          <cell r="E22">
            <v>100</v>
          </cell>
          <cell r="L22" t="str">
            <v>L(100)Eq</v>
          </cell>
          <cell r="M22" t="str">
            <v>-</v>
          </cell>
          <cell r="Q22" t="str">
            <v>商品</v>
          </cell>
        </row>
        <row r="23">
          <cell r="C23" t="str">
            <v>product_name_10</v>
          </cell>
          <cell r="D23" t="str">
            <v>nvarchar</v>
          </cell>
          <cell r="E23">
            <v>100</v>
          </cell>
          <cell r="L23" t="str">
            <v>L(100)Eq</v>
          </cell>
          <cell r="M23" t="str">
            <v>-</v>
          </cell>
          <cell r="Q23" t="str">
            <v>商品</v>
          </cell>
        </row>
        <row r="24">
          <cell r="C24" t="str">
            <v>product_maker_code</v>
          </cell>
          <cell r="D24" t="str">
            <v>nvarchar</v>
          </cell>
          <cell r="E24">
            <v>50</v>
          </cell>
          <cell r="L24" t="str">
            <v>L(50)Eq</v>
          </cell>
          <cell r="M24" t="str">
            <v>-</v>
          </cell>
          <cell r="Q24" t="str">
            <v>商品</v>
          </cell>
        </row>
        <row r="25">
          <cell r="C25" t="str">
            <v>product_maker</v>
          </cell>
          <cell r="D25" t="str">
            <v>nvarchar</v>
          </cell>
          <cell r="E25">
            <v>200</v>
          </cell>
          <cell r="L25" t="str">
            <v>L(200)Eq</v>
          </cell>
          <cell r="M25" t="str">
            <v>-</v>
          </cell>
          <cell r="N25" t="str">
            <v>-</v>
          </cell>
          <cell r="Q25" t="str">
            <v>商品</v>
          </cell>
        </row>
        <row r="26">
          <cell r="C26" t="str">
            <v>trade_type</v>
          </cell>
          <cell r="D26" t="str">
            <v>varchar</v>
          </cell>
          <cell r="E26">
            <v>50</v>
          </cell>
          <cell r="L26" t="str">
            <v>L(50)Eq</v>
          </cell>
          <cell r="M26" t="str">
            <v>-</v>
          </cell>
        </row>
        <row r="27">
          <cell r="C27" t="str">
            <v>industry_code</v>
          </cell>
          <cell r="D27" t="str">
            <v>varchar</v>
          </cell>
          <cell r="E27">
            <v>50</v>
          </cell>
          <cell r="L27" t="str">
            <v>L(50)Eq</v>
          </cell>
          <cell r="M27" t="str">
            <v>-</v>
          </cell>
        </row>
        <row r="28">
          <cell r="C28" t="str">
            <v>product_brand</v>
          </cell>
          <cell r="D28" t="str">
            <v>nvarchar</v>
          </cell>
          <cell r="E28">
            <v>200</v>
          </cell>
          <cell r="L28" t="str">
            <v>L(200)Eq</v>
          </cell>
          <cell r="M28" t="str">
            <v>-</v>
          </cell>
          <cell r="N28" t="str">
            <v>-</v>
          </cell>
          <cell r="Q28" t="str">
            <v>商品</v>
          </cell>
        </row>
        <row r="29">
          <cell r="C29" t="str">
            <v>product_exp_1</v>
          </cell>
          <cell r="D29" t="str">
            <v>text</v>
          </cell>
          <cell r="L29" t="str">
            <v>Eq</v>
          </cell>
          <cell r="M29" t="str">
            <v>-</v>
          </cell>
          <cell r="N29" t="str">
            <v>-</v>
          </cell>
          <cell r="Q29" t="str">
            <v>商品</v>
          </cell>
        </row>
        <row r="30">
          <cell r="C30" t="str">
            <v>product_exp_2</v>
          </cell>
          <cell r="D30" t="str">
            <v>text</v>
          </cell>
          <cell r="L30" t="str">
            <v>Eq</v>
          </cell>
          <cell r="M30" t="str">
            <v>-</v>
          </cell>
          <cell r="N30" t="str">
            <v>-</v>
          </cell>
          <cell r="Q30" t="str">
            <v>商品</v>
          </cell>
        </row>
        <row r="31">
          <cell r="C31" t="str">
            <v>product_exp_3</v>
          </cell>
          <cell r="D31" t="str">
            <v>text</v>
          </cell>
          <cell r="L31" t="str">
            <v>Eq</v>
          </cell>
          <cell r="M31" t="str">
            <v>-</v>
          </cell>
          <cell r="Q31" t="str">
            <v>商品</v>
          </cell>
        </row>
        <row r="32">
          <cell r="C32" t="str">
            <v>product_exp_4</v>
          </cell>
          <cell r="D32" t="str">
            <v>text</v>
          </cell>
          <cell r="L32" t="str">
            <v>Eq</v>
          </cell>
          <cell r="M32" t="str">
            <v>-</v>
          </cell>
          <cell r="Q32" t="str">
            <v>商品</v>
          </cell>
        </row>
        <row r="33">
          <cell r="C33" t="str">
            <v>product_exp_5</v>
          </cell>
          <cell r="D33" t="str">
            <v>text</v>
          </cell>
          <cell r="L33" t="str">
            <v>Eq</v>
          </cell>
          <cell r="M33" t="str">
            <v>-</v>
          </cell>
          <cell r="Q33" t="str">
            <v>商品</v>
          </cell>
        </row>
        <row r="34">
          <cell r="C34" t="str">
            <v>product_exp_6</v>
          </cell>
          <cell r="D34" t="str">
            <v>text</v>
          </cell>
          <cell r="L34" t="str">
            <v>Eq</v>
          </cell>
          <cell r="M34" t="str">
            <v>-</v>
          </cell>
          <cell r="Q34" t="str">
            <v>商品</v>
          </cell>
        </row>
        <row r="35">
          <cell r="C35" t="str">
            <v>product_exp_7</v>
          </cell>
          <cell r="D35" t="str">
            <v>text</v>
          </cell>
          <cell r="L35" t="str">
            <v>Eq</v>
          </cell>
          <cell r="M35" t="str">
            <v>-</v>
          </cell>
          <cell r="Q35" t="str">
            <v>商品</v>
          </cell>
        </row>
        <row r="36">
          <cell r="C36" t="str">
            <v>product_exp_8</v>
          </cell>
          <cell r="D36" t="str">
            <v>text</v>
          </cell>
          <cell r="L36" t="str">
            <v>Eq</v>
          </cell>
          <cell r="M36" t="str">
            <v>-</v>
          </cell>
          <cell r="Q36" t="str">
            <v>商品</v>
          </cell>
        </row>
        <row r="37">
          <cell r="C37" t="str">
            <v>product_exp_9</v>
          </cell>
          <cell r="D37" t="str">
            <v>text</v>
          </cell>
          <cell r="L37" t="str">
            <v>Eq</v>
          </cell>
          <cell r="M37" t="str">
            <v>-</v>
          </cell>
          <cell r="Q37" t="str">
            <v>商品</v>
          </cell>
        </row>
        <row r="38">
          <cell r="C38" t="str">
            <v>product_exp_10</v>
          </cell>
          <cell r="D38" t="str">
            <v>text</v>
          </cell>
          <cell r="L38" t="str">
            <v>Eq</v>
          </cell>
          <cell r="M38" t="str">
            <v>-</v>
          </cell>
          <cell r="Q38" t="str">
            <v>商品</v>
          </cell>
        </row>
        <row r="39">
          <cell r="C39" t="str">
            <v>spec_info</v>
          </cell>
          <cell r="D39" t="str">
            <v>text</v>
          </cell>
          <cell r="L39" t="str">
            <v>L(1000)Eq</v>
          </cell>
          <cell r="M39" t="str">
            <v>-</v>
          </cell>
          <cell r="Q39" t="str">
            <v>商品</v>
          </cell>
          <cell r="R39" t="str">
            <v>値のInnerTextのみセット</v>
          </cell>
        </row>
        <row r="40">
          <cell r="C40" t="str">
            <v>search_keywords</v>
          </cell>
          <cell r="D40" t="str">
            <v>text</v>
          </cell>
          <cell r="L40" t="str">
            <v>L(500)Eq</v>
          </cell>
          <cell r="M40" t="str">
            <v>○</v>
          </cell>
          <cell r="N40" t="str">
            <v>Japanese</v>
          </cell>
          <cell r="Q40" t="str">
            <v>商品</v>
          </cell>
        </row>
        <row r="41">
          <cell r="C41" t="str">
            <v>sale_price</v>
          </cell>
          <cell r="D41" t="str">
            <v>int</v>
          </cell>
          <cell r="E41">
            <v>4</v>
          </cell>
          <cell r="L41" t="str">
            <v>0Eq</v>
          </cell>
          <cell r="M41" t="str">
            <v>-</v>
          </cell>
          <cell r="Q41" t="str">
            <v>商品</v>
          </cell>
          <cell r="S41" t="str">
            <v>IX_sale_price</v>
          </cell>
        </row>
        <row r="42">
          <cell r="C42" t="str">
            <v>sale_price_disp</v>
          </cell>
          <cell r="D42" t="str">
            <v>nvarchar</v>
          </cell>
          <cell r="E42">
            <v>80</v>
          </cell>
          <cell r="L42" t="str">
            <v>L(80)Eq</v>
          </cell>
          <cell r="M42" t="str">
            <v>○</v>
          </cell>
        </row>
        <row r="43">
          <cell r="C43" t="str">
            <v>tax_include</v>
          </cell>
          <cell r="D43" t="str">
            <v>varchar</v>
          </cell>
          <cell r="E43">
            <v>40</v>
          </cell>
          <cell r="L43" t="str">
            <v>L(40)Eq</v>
          </cell>
          <cell r="M43" t="str">
            <v>○</v>
          </cell>
          <cell r="Q43" t="str">
            <v>商品</v>
          </cell>
        </row>
        <row r="44">
          <cell r="C44" t="str">
            <v>set_flg</v>
          </cell>
          <cell r="D44" t="str">
            <v>varchar</v>
          </cell>
          <cell r="E44">
            <v>40</v>
          </cell>
          <cell r="L44" t="str">
            <v>L(40)S[SET,WAGON]Eq</v>
          </cell>
          <cell r="M44" t="str">
            <v>○</v>
          </cell>
          <cell r="Q44" t="str">
            <v>商品</v>
          </cell>
          <cell r="T44" t="str">
            <v/>
          </cell>
        </row>
        <row r="45">
          <cell r="C45" t="str">
            <v>point_define_id</v>
          </cell>
          <cell r="D45" t="str">
            <v>varchar</v>
          </cell>
          <cell r="E45">
            <v>40</v>
          </cell>
          <cell r="L45" t="str">
            <v>L(40)Eq</v>
          </cell>
          <cell r="M45" t="str">
            <v>-</v>
          </cell>
          <cell r="Q45" t="str">
            <v>商品</v>
          </cell>
          <cell r="S45" t="str">
            <v>&lt;point_define_id name="ポイント付与ルール" /&gt;</v>
          </cell>
        </row>
        <row r="46">
          <cell r="C46" t="str">
            <v>point_rule</v>
          </cell>
          <cell r="D46" t="str">
            <v>varchar</v>
          </cell>
          <cell r="E46">
            <v>40</v>
          </cell>
          <cell r="L46" t="str">
            <v>L(40)Eq</v>
          </cell>
          <cell r="M46" t="str">
            <v>-</v>
          </cell>
          <cell r="Q46" t="str">
            <v>商品</v>
          </cell>
          <cell r="S46" t="str">
            <v>&lt;point_rule name="ポイント付与タイミング" /&gt;</v>
          </cell>
        </row>
        <row r="47">
          <cell r="C47" t="str">
            <v>site_point</v>
          </cell>
          <cell r="D47" t="str">
            <v>int</v>
          </cell>
          <cell r="E47">
            <v>4</v>
          </cell>
          <cell r="G47">
            <v>0</v>
          </cell>
          <cell r="L47" t="str">
            <v>0Eq</v>
          </cell>
          <cell r="M47" t="str">
            <v>-</v>
          </cell>
        </row>
        <row r="48">
          <cell r="C48" t="str">
            <v>site_point_rate</v>
          </cell>
          <cell r="D48" t="str">
            <v>int</v>
          </cell>
          <cell r="E48">
            <v>4</v>
          </cell>
          <cell r="G48">
            <v>0</v>
          </cell>
          <cell r="L48" t="str">
            <v>0Eq</v>
          </cell>
          <cell r="M48" t="str">
            <v>-</v>
          </cell>
        </row>
        <row r="49">
          <cell r="C49" t="str">
            <v>dept_point</v>
          </cell>
          <cell r="D49" t="str">
            <v>int</v>
          </cell>
          <cell r="E49">
            <v>4</v>
          </cell>
          <cell r="G49">
            <v>0</v>
          </cell>
          <cell r="L49" t="str">
            <v>0Eq</v>
          </cell>
          <cell r="M49" t="str">
            <v>-</v>
          </cell>
          <cell r="Q49" t="str">
            <v>商品</v>
          </cell>
        </row>
        <row r="50">
          <cell r="C50" t="str">
            <v>dept_point_rate</v>
          </cell>
          <cell r="D50" t="str">
            <v>int</v>
          </cell>
          <cell r="E50">
            <v>4</v>
          </cell>
          <cell r="G50">
            <v>0</v>
          </cell>
          <cell r="L50" t="str">
            <v>0Eq</v>
          </cell>
          <cell r="M50" t="str">
            <v>-</v>
          </cell>
          <cell r="Q50" t="str">
            <v>商品</v>
          </cell>
        </row>
        <row r="51">
          <cell r="C51" t="str">
            <v>stock_disp_type_id</v>
          </cell>
          <cell r="D51" t="str">
            <v>nvarchar</v>
          </cell>
          <cell r="E51">
            <v>16</v>
          </cell>
          <cell r="L51" t="str">
            <v>L(32)Eq</v>
          </cell>
          <cell r="M51" t="str">
            <v>△</v>
          </cell>
          <cell r="Q51" t="str">
            <v>商品</v>
          </cell>
          <cell r="T51" t="str">
            <v>例１）○×△　例２）50　在庫表示DLLで制御</v>
          </cell>
        </row>
        <row r="52">
          <cell r="C52" t="str">
            <v>stock_disp</v>
          </cell>
          <cell r="D52" t="str">
            <v>nvarchar</v>
          </cell>
          <cell r="E52">
            <v>255</v>
          </cell>
          <cell r="L52" t="str">
            <v>L(255)Eq</v>
          </cell>
          <cell r="M52" t="str">
            <v>△</v>
          </cell>
          <cell r="Q52" t="str">
            <v>商品</v>
          </cell>
          <cell r="T52" t="str">
            <v>例１）○×△　例２）50　在庫表示DLLで制御</v>
          </cell>
        </row>
        <row r="53">
          <cell r="C53" t="str">
            <v>stock_disp_id</v>
          </cell>
          <cell r="D53" t="str">
            <v>varchar</v>
          </cell>
          <cell r="E53">
            <v>40</v>
          </cell>
          <cell r="L53" t="str">
            <v>L(40)Eq</v>
          </cell>
          <cell r="M53" t="str">
            <v>△</v>
          </cell>
          <cell r="Q53" t="str">
            <v>商品</v>
          </cell>
        </row>
        <row r="54">
          <cell r="C54" t="str">
            <v>delivery_type</v>
          </cell>
          <cell r="D54" t="str">
            <v>varchar</v>
          </cell>
          <cell r="E54">
            <v>16</v>
          </cell>
          <cell r="M54" t="str">
            <v>-</v>
          </cell>
          <cell r="Q54" t="str">
            <v>商品</v>
          </cell>
        </row>
        <row r="55">
          <cell r="C55" t="str">
            <v>basket_stock_limit</v>
          </cell>
          <cell r="D55" t="str">
            <v>int</v>
          </cell>
          <cell r="E55">
            <v>4</v>
          </cell>
          <cell r="G55">
            <v>0</v>
          </cell>
          <cell r="L55" t="str">
            <v>0Eq</v>
          </cell>
          <cell r="M55" t="str">
            <v>△</v>
          </cell>
          <cell r="Q55" t="str">
            <v>在庫</v>
          </cell>
          <cell r="T55" t="str">
            <v>買物かご追加時在庫マイナス用</v>
          </cell>
        </row>
        <row r="56">
          <cell r="C56" t="str">
            <v>order_stock_limit</v>
          </cell>
          <cell r="D56" t="str">
            <v>int</v>
          </cell>
          <cell r="E56">
            <v>4</v>
          </cell>
          <cell r="G56">
            <v>0</v>
          </cell>
          <cell r="L56" t="str">
            <v>0Eq</v>
          </cell>
          <cell r="M56" t="str">
            <v>△</v>
          </cell>
          <cell r="Q56" t="str">
            <v>在庫</v>
          </cell>
          <cell r="T56" t="str">
            <v>顧客清算時在庫マイナス用</v>
          </cell>
        </row>
        <row r="57">
          <cell r="C57" t="str">
            <v>order_confirm_stock_limit</v>
          </cell>
          <cell r="D57" t="str">
            <v>int</v>
          </cell>
          <cell r="E57">
            <v>4</v>
          </cell>
          <cell r="G57">
            <v>0</v>
          </cell>
          <cell r="L57" t="str">
            <v>0Eq</v>
          </cell>
          <cell r="M57" t="str">
            <v>△</v>
          </cell>
          <cell r="Q57" t="str">
            <v>在庫</v>
          </cell>
          <cell r="T57" t="str">
            <v>サプライヤ受付時在庫マイナス用</v>
          </cell>
        </row>
        <row r="58">
          <cell r="C58" t="str">
            <v>stock_limit</v>
          </cell>
          <cell r="D58" t="str">
            <v>int</v>
          </cell>
          <cell r="E58">
            <v>4</v>
          </cell>
          <cell r="G58">
            <v>0</v>
          </cell>
          <cell r="L58" t="str">
            <v>0Eq</v>
          </cell>
          <cell r="M58" t="str">
            <v>△</v>
          </cell>
          <cell r="Q58" t="str">
            <v>在庫</v>
          </cell>
          <cell r="T58" t="str">
            <v>配送時在庫マイナス用</v>
          </cell>
        </row>
        <row r="59">
          <cell r="C59" t="str">
            <v>basket_stock_amount</v>
          </cell>
          <cell r="D59" t="str">
            <v>int</v>
          </cell>
          <cell r="E59">
            <v>4</v>
          </cell>
          <cell r="G59">
            <v>0</v>
          </cell>
          <cell r="L59" t="str">
            <v>0Eq</v>
          </cell>
          <cell r="M59" t="str">
            <v>△</v>
          </cell>
          <cell r="Q59" t="str">
            <v>在庫</v>
          </cell>
          <cell r="T59" t="str">
            <v>買物かご追加時在庫マイナス用</v>
          </cell>
        </row>
        <row r="60">
          <cell r="C60" t="str">
            <v>order_stock_amount</v>
          </cell>
          <cell r="D60" t="str">
            <v>int</v>
          </cell>
          <cell r="E60">
            <v>4</v>
          </cell>
          <cell r="G60">
            <v>0</v>
          </cell>
          <cell r="L60" t="str">
            <v>0Eq</v>
          </cell>
          <cell r="M60" t="str">
            <v>△</v>
          </cell>
          <cell r="Q60" t="str">
            <v>在庫</v>
          </cell>
          <cell r="T60" t="str">
            <v>顧客清算時在庫マイナス用</v>
          </cell>
        </row>
        <row r="61">
          <cell r="C61" t="str">
            <v>order_confirm_stock_amount</v>
          </cell>
          <cell r="D61" t="str">
            <v>int</v>
          </cell>
          <cell r="E61">
            <v>4</v>
          </cell>
          <cell r="G61">
            <v>0</v>
          </cell>
          <cell r="L61" t="str">
            <v>0Eq</v>
          </cell>
          <cell r="M61" t="str">
            <v>△</v>
          </cell>
          <cell r="Q61" t="str">
            <v>在庫</v>
          </cell>
          <cell r="T61" t="str">
            <v>サプライヤ受付時在庫マイナス用</v>
          </cell>
        </row>
        <row r="62">
          <cell r="C62" t="str">
            <v>stock_amount</v>
          </cell>
          <cell r="D62" t="str">
            <v>int</v>
          </cell>
          <cell r="E62">
            <v>4</v>
          </cell>
          <cell r="G62">
            <v>0</v>
          </cell>
          <cell r="L62" t="str">
            <v>0Eq</v>
          </cell>
          <cell r="M62" t="str">
            <v>△</v>
          </cell>
          <cell r="Q62" t="str">
            <v>在庫</v>
          </cell>
          <cell r="T62" t="str">
            <v>配送時在庫マイナス用</v>
          </cell>
        </row>
        <row r="63">
          <cell r="C63" t="str">
            <v>active_flg</v>
          </cell>
          <cell r="D63" t="str">
            <v>nvarchar</v>
          </cell>
          <cell r="E63">
            <v>40</v>
          </cell>
          <cell r="L63" t="str">
            <v>L(40)S[ON,OFF]Eq</v>
          </cell>
          <cell r="M63" t="str">
            <v>○</v>
          </cell>
          <cell r="Q63" t="str">
            <v>在庫</v>
          </cell>
          <cell r="T63" t="str">
            <v>在庫管理フラグ(在庫管理する･･･"ON"　しない･･･"OFF")</v>
          </cell>
        </row>
        <row r="64">
          <cell r="C64" t="str">
            <v>sale_term_from</v>
          </cell>
          <cell r="D64" t="str">
            <v>varchar</v>
          </cell>
          <cell r="E64">
            <v>20</v>
          </cell>
          <cell r="L64" t="str">
            <v>L(20)Eq</v>
          </cell>
          <cell r="M64" t="str">
            <v>○</v>
          </cell>
          <cell r="Q64" t="str">
            <v>商品</v>
          </cell>
        </row>
        <row r="65">
          <cell r="C65" t="str">
            <v>sale_term_to</v>
          </cell>
          <cell r="D65" t="str">
            <v>varchar</v>
          </cell>
          <cell r="E65">
            <v>20</v>
          </cell>
          <cell r="L65" t="str">
            <v>L(20)Eq</v>
          </cell>
          <cell r="M65" t="str">
            <v>○</v>
          </cell>
          <cell r="Q65" t="str">
            <v>商品</v>
          </cell>
        </row>
        <row r="66">
          <cell r="C66" t="str">
            <v>sale_date</v>
          </cell>
          <cell r="D66" t="str">
            <v>varchar</v>
          </cell>
          <cell r="E66">
            <v>20</v>
          </cell>
          <cell r="L66" t="str">
            <v>NL(20)Eq</v>
          </cell>
          <cell r="M66" t="str">
            <v>○</v>
          </cell>
          <cell r="Q66" t="str">
            <v>商品</v>
          </cell>
          <cell r="T66" t="str">
            <v>YYYYMMDDHHMMSSのStringでセット</v>
          </cell>
        </row>
        <row r="67">
          <cell r="C67" t="str">
            <v>sale_date_disp</v>
          </cell>
          <cell r="D67" t="str">
            <v>nvarchar</v>
          </cell>
          <cell r="E67">
            <v>100</v>
          </cell>
          <cell r="L67" t="str">
            <v>L(100)Eq</v>
          </cell>
          <cell r="M67" t="str">
            <v>-</v>
          </cell>
          <cell r="Q67" t="str">
            <v>商品</v>
          </cell>
        </row>
        <row r="68">
          <cell r="C68" t="str">
            <v>disp_priority</v>
          </cell>
          <cell r="D68" t="str">
            <v>int</v>
          </cell>
          <cell r="G68">
            <v>0</v>
          </cell>
          <cell r="L68" t="str">
            <v>0Eq</v>
          </cell>
          <cell r="M68" t="str">
            <v>-</v>
          </cell>
          <cell r="Q68" t="str">
            <v>商品</v>
          </cell>
        </row>
        <row r="69">
          <cell r="C69" t="str">
            <v>recycling_flag</v>
          </cell>
          <cell r="D69" t="str">
            <v>varchar</v>
          </cell>
          <cell r="E69">
            <v>40</v>
          </cell>
          <cell r="L69" t="str">
            <v>L(40)S[USED]Eq</v>
          </cell>
          <cell r="M69" t="str">
            <v>-</v>
          </cell>
          <cell r="Q69" t="str">
            <v>商品</v>
          </cell>
          <cell r="T69" t="str">
            <v>中古：USED</v>
          </cell>
        </row>
        <row r="70">
          <cell r="C70" t="str">
            <v>digital_flg</v>
          </cell>
          <cell r="D70" t="str">
            <v>varchar</v>
          </cell>
          <cell r="E70">
            <v>16</v>
          </cell>
          <cell r="L70" t="str">
            <v>L(16)Eq</v>
          </cell>
          <cell r="M70" t="str">
            <v>-</v>
          </cell>
          <cell r="Q70" t="str">
            <v>商品</v>
          </cell>
          <cell r="T70" t="str">
            <v>ＥＳＤ区分</v>
          </cell>
        </row>
        <row r="71">
          <cell r="C71" t="str">
            <v>library_flg</v>
          </cell>
          <cell r="D71" t="str">
            <v>varchar</v>
          </cell>
          <cell r="E71">
            <v>16</v>
          </cell>
          <cell r="L71" t="str">
            <v>L(16)Eq</v>
          </cell>
          <cell r="M71" t="str">
            <v>-</v>
          </cell>
          <cell r="Q71" t="str">
            <v>商品</v>
          </cell>
        </row>
        <row r="72">
          <cell r="C72" t="str">
            <v>sale_flg</v>
          </cell>
          <cell r="D72" t="str">
            <v>varchar</v>
          </cell>
          <cell r="E72">
            <v>16</v>
          </cell>
          <cell r="L72" t="str">
            <v>L(16)Eq</v>
          </cell>
          <cell r="M72" t="str">
            <v>○</v>
          </cell>
          <cell r="Q72" t="str">
            <v>商品</v>
          </cell>
          <cell r="T72" t="str">
            <v>販売中：OPEN　販売中止：CLOSE　販売保留：SHOW</v>
          </cell>
        </row>
        <row r="73">
          <cell r="C73" t="str">
            <v>promotion_goods_flg</v>
          </cell>
          <cell r="D73" t="str">
            <v>varchar</v>
          </cell>
          <cell r="E73">
            <v>40</v>
          </cell>
          <cell r="L73" t="str">
            <v>L(40)Eq</v>
          </cell>
          <cell r="M73" t="str">
            <v>-</v>
          </cell>
          <cell r="Q73" t="str">
            <v>商品</v>
          </cell>
        </row>
        <row r="74">
          <cell r="C74" t="str">
            <v>member_control_flag</v>
          </cell>
          <cell r="D74" t="str">
            <v>varchar</v>
          </cell>
          <cell r="E74">
            <v>16</v>
          </cell>
          <cell r="L74" t="str">
            <v>L(16)S[MEMBER]Eq</v>
          </cell>
          <cell r="M74" t="str">
            <v>-</v>
          </cell>
          <cell r="Q74" t="str">
            <v>商品</v>
          </cell>
          <cell r="T74" t="str">
            <v>&lt;member_control_flag name="会員制御フラグ" /&gt;</v>
          </cell>
        </row>
        <row r="75">
          <cell r="C75" t="str">
            <v>sales_count</v>
          </cell>
          <cell r="D75" t="str">
            <v>int</v>
          </cell>
          <cell r="E75">
            <v>4</v>
          </cell>
          <cell r="G75">
            <v>0</v>
          </cell>
          <cell r="L75" t="str">
            <v>0Eq</v>
          </cell>
          <cell r="M75" t="str">
            <v>○</v>
          </cell>
          <cell r="Q75" t="str">
            <v>計算</v>
          </cell>
          <cell r="R75" t="str">
            <v>売り上げ商品数（日）</v>
          </cell>
          <cell r="T75" t="str">
            <v>売れている数。受注明細からバッチで値を格納。</v>
          </cell>
        </row>
        <row r="76">
          <cell r="C76" t="str">
            <v>sales_price_amount</v>
          </cell>
          <cell r="D76" t="str">
            <v>bigint</v>
          </cell>
          <cell r="E76">
            <v>8</v>
          </cell>
          <cell r="G76">
            <v>0</v>
          </cell>
          <cell r="L76" t="str">
            <v>0Eq</v>
          </cell>
          <cell r="M76" t="str">
            <v>○</v>
          </cell>
          <cell r="Q76" t="str">
            <v>計算</v>
          </cell>
          <cell r="R76" t="str">
            <v>売り上げ金額（日）</v>
          </cell>
          <cell r="T76" t="str">
            <v>売り上げ総金額</v>
          </cell>
        </row>
        <row r="77">
          <cell r="C77" t="str">
            <v>sales_count2</v>
          </cell>
          <cell r="D77" t="str">
            <v>int</v>
          </cell>
          <cell r="E77">
            <v>4</v>
          </cell>
          <cell r="G77">
            <v>0</v>
          </cell>
          <cell r="L77" t="str">
            <v>0Eq</v>
          </cell>
          <cell r="M77" t="str">
            <v>○</v>
          </cell>
          <cell r="Q77" t="str">
            <v>計算</v>
          </cell>
          <cell r="R77" t="str">
            <v>売り上げ商品数２（週）</v>
          </cell>
          <cell r="T77" t="str">
            <v>売れている数。受注明細からバッチで値を格納。</v>
          </cell>
        </row>
        <row r="78">
          <cell r="C78" t="str">
            <v>sales_price_amount2</v>
          </cell>
          <cell r="D78" t="str">
            <v>bigint</v>
          </cell>
          <cell r="E78">
            <v>8</v>
          </cell>
          <cell r="G78">
            <v>0</v>
          </cell>
          <cell r="L78" t="str">
            <v>0Eq</v>
          </cell>
          <cell r="M78" t="str">
            <v>○</v>
          </cell>
          <cell r="Q78" t="str">
            <v>計算</v>
          </cell>
          <cell r="R78" t="str">
            <v>売り上げ金額２（週）</v>
          </cell>
          <cell r="T78" t="str">
            <v>売り上げ総金額</v>
          </cell>
        </row>
        <row r="79">
          <cell r="C79" t="str">
            <v>sales_count3</v>
          </cell>
          <cell r="D79" t="str">
            <v>int</v>
          </cell>
          <cell r="E79">
            <v>4</v>
          </cell>
          <cell r="G79">
            <v>0</v>
          </cell>
          <cell r="L79" t="str">
            <v>0Eq</v>
          </cell>
          <cell r="M79" t="str">
            <v>○</v>
          </cell>
          <cell r="Q79" t="str">
            <v>計算</v>
          </cell>
          <cell r="R79" t="str">
            <v>売り上げ商品数３（月）</v>
          </cell>
          <cell r="T79" t="str">
            <v>売れている数。受注明細からバッチで値を格納。</v>
          </cell>
        </row>
        <row r="80">
          <cell r="C80" t="str">
            <v>sales_price_amount3</v>
          </cell>
          <cell r="D80" t="str">
            <v>bigint</v>
          </cell>
          <cell r="E80">
            <v>8</v>
          </cell>
          <cell r="G80">
            <v>0</v>
          </cell>
          <cell r="L80" t="str">
            <v>0Eq</v>
          </cell>
          <cell r="M80" t="str">
            <v>○</v>
          </cell>
          <cell r="Q80" t="str">
            <v>計算</v>
          </cell>
          <cell r="R80" t="str">
            <v>売り上げ金額３（月）</v>
          </cell>
          <cell r="T80" t="str">
            <v>売り上げ総金額</v>
          </cell>
        </row>
        <row r="81">
          <cell r="C81" t="str">
            <v>sales_count4</v>
          </cell>
          <cell r="D81" t="str">
            <v>int</v>
          </cell>
          <cell r="E81">
            <v>4</v>
          </cell>
          <cell r="G81">
            <v>0</v>
          </cell>
          <cell r="L81" t="str">
            <v>0Eq</v>
          </cell>
          <cell r="M81" t="str">
            <v>-</v>
          </cell>
          <cell r="T81" t="str">
            <v>売れている数。受注明細からバッチで値を格納。</v>
          </cell>
        </row>
        <row r="82">
          <cell r="C82" t="str">
            <v>sales_price_amount4</v>
          </cell>
          <cell r="D82" t="str">
            <v>bigint</v>
          </cell>
          <cell r="E82">
            <v>8</v>
          </cell>
          <cell r="G82">
            <v>0</v>
          </cell>
          <cell r="L82" t="str">
            <v>0Eq</v>
          </cell>
          <cell r="M82" t="str">
            <v>-</v>
          </cell>
          <cell r="T82" t="str">
            <v>売り上げ総金額</v>
          </cell>
        </row>
        <row r="83">
          <cell r="C83" t="str">
            <v>sales_count5</v>
          </cell>
          <cell r="D83" t="str">
            <v>int</v>
          </cell>
          <cell r="E83">
            <v>4</v>
          </cell>
          <cell r="G83">
            <v>0</v>
          </cell>
          <cell r="L83" t="str">
            <v>0Eq</v>
          </cell>
          <cell r="M83" t="str">
            <v>-</v>
          </cell>
          <cell r="T83" t="str">
            <v>売れている数。受注明細からバッチで値を格納。</v>
          </cell>
        </row>
        <row r="84">
          <cell r="C84" t="str">
            <v>sales_price_amount5</v>
          </cell>
          <cell r="D84" t="str">
            <v>bigint</v>
          </cell>
          <cell r="E84">
            <v>8</v>
          </cell>
          <cell r="G84">
            <v>0</v>
          </cell>
          <cell r="L84" t="str">
            <v>0Eq</v>
          </cell>
          <cell r="M84" t="str">
            <v>-</v>
          </cell>
          <cell r="T84" t="str">
            <v>売り上げ総金額</v>
          </cell>
        </row>
        <row r="85">
          <cell r="C85" t="str">
            <v>sales_history_info</v>
          </cell>
          <cell r="D85" t="str">
            <v>text</v>
          </cell>
          <cell r="E85">
            <v>16</v>
          </cell>
          <cell r="L85" t="str">
            <v>Eq</v>
          </cell>
          <cell r="M85" t="str">
            <v>-</v>
          </cell>
          <cell r="Q85" t="str">
            <v>計算</v>
          </cell>
          <cell r="R85" t="str">
            <v>売上げ履歴</v>
          </cell>
        </row>
        <row r="86">
          <cell r="C86" t="str">
            <v>variation_flg</v>
          </cell>
          <cell r="D86" t="str">
            <v>varchar</v>
          </cell>
          <cell r="E86">
            <v>16</v>
          </cell>
          <cell r="L86" t="str">
            <v>S[P,V]Eq</v>
          </cell>
          <cell r="M86" t="str">
            <v>-</v>
          </cell>
          <cell r="Q86" t="str">
            <v>商品</v>
          </cell>
        </row>
        <row r="87">
          <cell r="C87" t="str">
            <v>variation_parent_sku</v>
          </cell>
          <cell r="D87" t="str">
            <v>varchar</v>
          </cell>
          <cell r="E87">
            <v>40</v>
          </cell>
          <cell r="L87" t="str">
            <v>L(40)Eq</v>
          </cell>
          <cell r="M87" t="str">
            <v>-</v>
          </cell>
          <cell r="Q87" t="str">
            <v>商品</v>
          </cell>
          <cell r="T87" t="str">
            <v>バリエーションの子商品の場合、親商品SKUを入れておく</v>
          </cell>
        </row>
        <row r="88">
          <cell r="C88" t="str">
            <v>product_code_1</v>
          </cell>
          <cell r="D88" t="str">
            <v>varchar</v>
          </cell>
          <cell r="E88">
            <v>40</v>
          </cell>
          <cell r="L88" t="str">
            <v>L(40)Eq</v>
          </cell>
          <cell r="M88" t="str">
            <v>-</v>
          </cell>
          <cell r="Q88" t="str">
            <v>商品</v>
          </cell>
        </row>
        <row r="89">
          <cell r="C89" t="str">
            <v>product_code_2</v>
          </cell>
          <cell r="D89" t="str">
            <v>varchar</v>
          </cell>
          <cell r="E89">
            <v>40</v>
          </cell>
          <cell r="L89" t="str">
            <v>L(40)Eq</v>
          </cell>
          <cell r="M89" t="str">
            <v>-</v>
          </cell>
          <cell r="Q89" t="str">
            <v>商品</v>
          </cell>
        </row>
        <row r="90">
          <cell r="C90" t="str">
            <v>product_picture_path_1</v>
          </cell>
          <cell r="D90" t="str">
            <v>nvarchar</v>
          </cell>
          <cell r="E90">
            <v>255</v>
          </cell>
          <cell r="L90" t="str">
            <v>L(255)Eq</v>
          </cell>
          <cell r="M90" t="str">
            <v>-</v>
          </cell>
          <cell r="Q90" t="str">
            <v>商品</v>
          </cell>
        </row>
        <row r="91">
          <cell r="C91" t="str">
            <v>product_picture_path_2</v>
          </cell>
          <cell r="D91" t="str">
            <v>nvarchar</v>
          </cell>
          <cell r="E91">
            <v>255</v>
          </cell>
          <cell r="L91" t="str">
            <v>L(255)Eq</v>
          </cell>
          <cell r="M91" t="str">
            <v>-</v>
          </cell>
          <cell r="Q91" t="str">
            <v>商品</v>
          </cell>
        </row>
        <row r="92">
          <cell r="C92" t="str">
            <v>product_picture_path_3</v>
          </cell>
          <cell r="D92" t="str">
            <v>nvarchar</v>
          </cell>
          <cell r="E92">
            <v>255</v>
          </cell>
          <cell r="L92" t="str">
            <v>L(255)Eq</v>
          </cell>
          <cell r="M92" t="str">
            <v>-</v>
          </cell>
          <cell r="Q92" t="str">
            <v>商品</v>
          </cell>
        </row>
        <row r="93">
          <cell r="C93" t="str">
            <v>product_picture_path_4</v>
          </cell>
          <cell r="D93" t="str">
            <v>nvarchar</v>
          </cell>
          <cell r="E93">
            <v>255</v>
          </cell>
          <cell r="L93" t="str">
            <v>L(255)Eq</v>
          </cell>
          <cell r="M93" t="str">
            <v>-</v>
          </cell>
        </row>
        <row r="94">
          <cell r="C94" t="str">
            <v>product_picture_path_5</v>
          </cell>
          <cell r="D94" t="str">
            <v>nvarchar</v>
          </cell>
          <cell r="E94">
            <v>255</v>
          </cell>
          <cell r="L94" t="str">
            <v>L(255)Eq</v>
          </cell>
          <cell r="M94" t="str">
            <v>-</v>
          </cell>
        </row>
        <row r="95">
          <cell r="C95" t="str">
            <v>product_picture_path_6</v>
          </cell>
          <cell r="D95" t="str">
            <v>nvarchar</v>
          </cell>
          <cell r="E95">
            <v>255</v>
          </cell>
          <cell r="L95" t="str">
            <v>L(255)Eq</v>
          </cell>
          <cell r="M95" t="str">
            <v>-</v>
          </cell>
        </row>
        <row r="96">
          <cell r="C96" t="str">
            <v>product_picture_path_7</v>
          </cell>
          <cell r="D96" t="str">
            <v>nvarchar</v>
          </cell>
          <cell r="E96">
            <v>255</v>
          </cell>
          <cell r="L96" t="str">
            <v>L(255)Eq</v>
          </cell>
          <cell r="M96" t="str">
            <v>-</v>
          </cell>
        </row>
        <row r="97">
          <cell r="C97" t="str">
            <v>product_picture_path_8</v>
          </cell>
          <cell r="D97" t="str">
            <v>nvarchar</v>
          </cell>
          <cell r="E97">
            <v>255</v>
          </cell>
          <cell r="L97" t="str">
            <v>L(255)Eq</v>
          </cell>
          <cell r="M97" t="str">
            <v>-</v>
          </cell>
        </row>
        <row r="98">
          <cell r="C98" t="str">
            <v>product_picture_path_9</v>
          </cell>
          <cell r="D98" t="str">
            <v>nvarchar</v>
          </cell>
          <cell r="E98">
            <v>255</v>
          </cell>
          <cell r="L98" t="str">
            <v>L(255)Eq</v>
          </cell>
          <cell r="M98" t="str">
            <v>-</v>
          </cell>
        </row>
        <row r="99">
          <cell r="C99" t="str">
            <v>product_picture_path_10</v>
          </cell>
          <cell r="D99" t="str">
            <v>nvarchar</v>
          </cell>
          <cell r="E99">
            <v>255</v>
          </cell>
          <cell r="L99" t="str">
            <v>L(255)Eq</v>
          </cell>
          <cell r="M99" t="str">
            <v>-</v>
          </cell>
        </row>
        <row r="100">
          <cell r="C100" t="str">
            <v>property1</v>
          </cell>
          <cell r="D100" t="str">
            <v>nvarchar</v>
          </cell>
          <cell r="E100">
            <v>100</v>
          </cell>
          <cell r="L100" t="str">
            <v>L(100)Eq</v>
          </cell>
          <cell r="M100" t="str">
            <v>-</v>
          </cell>
          <cell r="Q100" t="str">
            <v>商品</v>
          </cell>
          <cell r="R100" t="str">
            <v>カンマ区切りで表示したいアイコンのＩＤをセット</v>
          </cell>
          <cell r="T100" t="str">
            <v>アイコン種類に紐づく画像パスはフロントで管理</v>
          </cell>
        </row>
        <row r="101">
          <cell r="C101" t="str">
            <v>property2</v>
          </cell>
          <cell r="D101" t="str">
            <v>nvarchar</v>
          </cell>
          <cell r="E101">
            <v>100</v>
          </cell>
          <cell r="L101" t="str">
            <v>L(100)Eq</v>
          </cell>
          <cell r="M101" t="str">
            <v>-</v>
          </cell>
          <cell r="Q101" t="str">
            <v>商品</v>
          </cell>
          <cell r="R101" t="str">
            <v>セールフラグとして使用</v>
          </cell>
        </row>
        <row r="102">
          <cell r="C102" t="str">
            <v>property3</v>
          </cell>
          <cell r="D102" t="str">
            <v>nvarchar</v>
          </cell>
          <cell r="E102">
            <v>100</v>
          </cell>
          <cell r="L102" t="str">
            <v>L(100)Eq</v>
          </cell>
          <cell r="M102" t="str">
            <v>-</v>
          </cell>
          <cell r="Q102" t="str">
            <v>商品</v>
          </cell>
          <cell r="R102" t="str">
            <v>お勧めフラグとして使用</v>
          </cell>
          <cell r="T102" t="str">
            <v>ACTIVE：有効
(Empty)：無効</v>
          </cell>
        </row>
        <row r="103">
          <cell r="C103" t="str">
            <v>property4</v>
          </cell>
          <cell r="D103" t="str">
            <v>nvarchar</v>
          </cell>
          <cell r="E103">
            <v>100</v>
          </cell>
          <cell r="L103" t="str">
            <v>L(100)Eq</v>
          </cell>
          <cell r="M103" t="str">
            <v>-</v>
          </cell>
          <cell r="Q103" t="str">
            <v>商品</v>
          </cell>
        </row>
        <row r="104">
          <cell r="C104" t="str">
            <v>property5</v>
          </cell>
          <cell r="D104" t="str">
            <v>nvarchar</v>
          </cell>
          <cell r="E104">
            <v>100</v>
          </cell>
          <cell r="L104" t="str">
            <v>L(100)Eq</v>
          </cell>
          <cell r="M104" t="str">
            <v>-</v>
          </cell>
          <cell r="Q104" t="str">
            <v>商品</v>
          </cell>
        </row>
        <row r="105">
          <cell r="C105" t="str">
            <v>property6</v>
          </cell>
          <cell r="D105" t="str">
            <v>nvarchar</v>
          </cell>
          <cell r="E105">
            <v>100</v>
          </cell>
          <cell r="L105" t="str">
            <v>L(100)Eq</v>
          </cell>
          <cell r="M105" t="str">
            <v>○</v>
          </cell>
          <cell r="N105" t="str">
            <v>Japanese</v>
          </cell>
          <cell r="Q105" t="str">
            <v>商品</v>
          </cell>
        </row>
        <row r="106">
          <cell r="C106" t="str">
            <v>property7</v>
          </cell>
          <cell r="D106" t="str">
            <v>nvarchar</v>
          </cell>
          <cell r="E106">
            <v>100</v>
          </cell>
          <cell r="L106" t="str">
            <v>L(100)Eq</v>
          </cell>
          <cell r="M106" t="str">
            <v>○</v>
          </cell>
          <cell r="N106" t="str">
            <v>Japanese</v>
          </cell>
          <cell r="Q106" t="str">
            <v>商品</v>
          </cell>
        </row>
        <row r="107">
          <cell r="C107" t="str">
            <v>property8</v>
          </cell>
          <cell r="D107" t="str">
            <v>nvarchar</v>
          </cell>
          <cell r="E107">
            <v>100</v>
          </cell>
          <cell r="L107" t="str">
            <v>L(100)Eq</v>
          </cell>
          <cell r="M107" t="str">
            <v>-</v>
          </cell>
          <cell r="Q107" t="str">
            <v>商品</v>
          </cell>
        </row>
        <row r="108">
          <cell r="C108" t="str">
            <v>property9</v>
          </cell>
          <cell r="D108" t="str">
            <v>nvarchar</v>
          </cell>
          <cell r="E108">
            <v>100</v>
          </cell>
          <cell r="L108" t="str">
            <v>L(100)Eq</v>
          </cell>
          <cell r="M108" t="str">
            <v>-</v>
          </cell>
          <cell r="Q108" t="str">
            <v>商品</v>
          </cell>
        </row>
        <row r="109">
          <cell r="C109" t="str">
            <v>property10</v>
          </cell>
          <cell r="D109" t="str">
            <v>nvarchar</v>
          </cell>
          <cell r="E109">
            <v>100</v>
          </cell>
          <cell r="L109" t="str">
            <v>L(100)Eq</v>
          </cell>
          <cell r="M109" t="str">
            <v>-</v>
          </cell>
          <cell r="Q109" t="str">
            <v>商品</v>
          </cell>
        </row>
        <row r="110">
          <cell r="C110" t="str">
            <v>property11</v>
          </cell>
          <cell r="D110" t="str">
            <v>nvarchar</v>
          </cell>
          <cell r="E110">
            <v>100</v>
          </cell>
          <cell r="L110" t="str">
            <v>L(100)Eq</v>
          </cell>
          <cell r="M110" t="str">
            <v>-</v>
          </cell>
          <cell r="Q110" t="str">
            <v>商品</v>
          </cell>
        </row>
        <row r="111">
          <cell r="C111" t="str">
            <v>property12</v>
          </cell>
          <cell r="D111" t="str">
            <v>nvarchar</v>
          </cell>
          <cell r="E111">
            <v>100</v>
          </cell>
          <cell r="L111" t="str">
            <v>L(100)Eq</v>
          </cell>
          <cell r="M111" t="str">
            <v>-</v>
          </cell>
          <cell r="Q111" t="str">
            <v>商品</v>
          </cell>
        </row>
        <row r="112">
          <cell r="C112" t="str">
            <v>property13</v>
          </cell>
          <cell r="D112" t="str">
            <v>nvarchar</v>
          </cell>
          <cell r="E112">
            <v>100</v>
          </cell>
          <cell r="L112" t="str">
            <v>L(100)Eq</v>
          </cell>
          <cell r="M112" t="str">
            <v>-</v>
          </cell>
          <cell r="Q112" t="str">
            <v>商品</v>
          </cell>
        </row>
        <row r="113">
          <cell r="C113" t="str">
            <v>property14</v>
          </cell>
          <cell r="D113" t="str">
            <v>nvarchar</v>
          </cell>
          <cell r="E113">
            <v>100</v>
          </cell>
          <cell r="L113" t="str">
            <v>L(100)Eq</v>
          </cell>
          <cell r="M113" t="str">
            <v>-</v>
          </cell>
          <cell r="Q113" t="str">
            <v>商品</v>
          </cell>
        </row>
        <row r="114">
          <cell r="C114" t="str">
            <v>property15</v>
          </cell>
          <cell r="D114" t="str">
            <v>nvarchar</v>
          </cell>
          <cell r="E114">
            <v>100</v>
          </cell>
          <cell r="L114" t="str">
            <v>L(100)Eq</v>
          </cell>
          <cell r="M114" t="str">
            <v>-</v>
          </cell>
          <cell r="Q114" t="str">
            <v>商品</v>
          </cell>
        </row>
        <row r="115">
          <cell r="C115" t="str">
            <v>property16</v>
          </cell>
          <cell r="D115" t="str">
            <v>text</v>
          </cell>
          <cell r="L115" t="str">
            <v>Eq</v>
          </cell>
          <cell r="M115" t="str">
            <v>-</v>
          </cell>
          <cell r="Q115" t="str">
            <v>商品</v>
          </cell>
        </row>
        <row r="116">
          <cell r="C116" t="str">
            <v>property17</v>
          </cell>
          <cell r="D116" t="str">
            <v>text</v>
          </cell>
          <cell r="L116" t="str">
            <v>Eq</v>
          </cell>
          <cell r="M116" t="str">
            <v>-</v>
          </cell>
          <cell r="Q116" t="str">
            <v>商品</v>
          </cell>
        </row>
        <row r="117">
          <cell r="C117" t="str">
            <v>property18</v>
          </cell>
          <cell r="D117" t="str">
            <v>text</v>
          </cell>
          <cell r="L117" t="str">
            <v>Eq</v>
          </cell>
          <cell r="M117" t="str">
            <v>-</v>
          </cell>
          <cell r="Q117" t="str">
            <v>商品</v>
          </cell>
        </row>
        <row r="118">
          <cell r="C118" t="str">
            <v>property19</v>
          </cell>
          <cell r="D118" t="str">
            <v>text</v>
          </cell>
          <cell r="L118" t="str">
            <v>Eq</v>
          </cell>
          <cell r="M118" t="str">
            <v>-</v>
          </cell>
          <cell r="Q118" t="str">
            <v>商品</v>
          </cell>
        </row>
        <row r="119">
          <cell r="C119" t="str">
            <v>property20</v>
          </cell>
          <cell r="D119" t="str">
            <v>text</v>
          </cell>
          <cell r="L119" t="str">
            <v>Eq</v>
          </cell>
          <cell r="M119" t="str">
            <v>-</v>
          </cell>
          <cell r="Q119" t="str">
            <v>商品</v>
          </cell>
        </row>
        <row r="120">
          <cell r="C120" t="str">
            <v>status1</v>
          </cell>
          <cell r="D120" t="str">
            <v>nvarchar</v>
          </cell>
          <cell r="E120">
            <v>100</v>
          </cell>
          <cell r="L120" t="str">
            <v>L(100)Eq</v>
          </cell>
          <cell r="M120" t="str">
            <v>-</v>
          </cell>
          <cell r="Q120" t="str">
            <v>商品</v>
          </cell>
        </row>
        <row r="121">
          <cell r="C121" t="str">
            <v>status2</v>
          </cell>
          <cell r="D121" t="str">
            <v>nvarchar</v>
          </cell>
          <cell r="E121">
            <v>100</v>
          </cell>
          <cell r="L121" t="str">
            <v>L(100)Eq</v>
          </cell>
          <cell r="M121" t="str">
            <v>-</v>
          </cell>
          <cell r="Q121" t="str">
            <v>商品</v>
          </cell>
        </row>
        <row r="122">
          <cell r="C122" t="str">
            <v>status3</v>
          </cell>
          <cell r="D122" t="str">
            <v>nvarchar</v>
          </cell>
          <cell r="E122">
            <v>100</v>
          </cell>
          <cell r="L122" t="str">
            <v>L(100)Eq</v>
          </cell>
          <cell r="M122" t="str">
            <v>-</v>
          </cell>
          <cell r="Q122" t="str">
            <v>商品</v>
          </cell>
        </row>
        <row r="123">
          <cell r="C123" t="str">
            <v>search_keywords_1</v>
          </cell>
          <cell r="D123" t="str">
            <v>text</v>
          </cell>
          <cell r="E123">
            <v>16</v>
          </cell>
          <cell r="L123" t="str">
            <v>Eq</v>
          </cell>
          <cell r="M123" t="str">
            <v>○</v>
          </cell>
          <cell r="N123" t="str">
            <v>Japanese</v>
          </cell>
          <cell r="Q123" t="str">
            <v>複合</v>
          </cell>
        </row>
        <row r="124">
          <cell r="C124" t="str">
            <v>search_keywords_2</v>
          </cell>
          <cell r="D124" t="str">
            <v>text</v>
          </cell>
          <cell r="E124">
            <v>16</v>
          </cell>
          <cell r="L124" t="str">
            <v>Eq</v>
          </cell>
          <cell r="M124" t="str">
            <v>-</v>
          </cell>
          <cell r="N124" t="str">
            <v>-</v>
          </cell>
          <cell r="Q124" t="str">
            <v>複合</v>
          </cell>
        </row>
        <row r="125">
          <cell r="C125" t="str">
            <v>search_keywords_3</v>
          </cell>
          <cell r="D125" t="str">
            <v>text</v>
          </cell>
          <cell r="E125">
            <v>16</v>
          </cell>
          <cell r="L125" t="str">
            <v>Eq</v>
          </cell>
          <cell r="M125" t="str">
            <v>-</v>
          </cell>
          <cell r="N125" t="str">
            <v>-</v>
          </cell>
          <cell r="Q125" t="str">
            <v>複合</v>
          </cell>
        </row>
        <row r="126">
          <cell r="C126" t="str">
            <v>search_keywords_4</v>
          </cell>
          <cell r="D126" t="str">
            <v>text</v>
          </cell>
          <cell r="E126">
            <v>16</v>
          </cell>
          <cell r="L126" t="str">
            <v>Eq</v>
          </cell>
          <cell r="M126" t="str">
            <v>-</v>
          </cell>
          <cell r="N126" t="str">
            <v>-</v>
          </cell>
          <cell r="Q126" t="str">
            <v>複合</v>
          </cell>
        </row>
        <row r="127">
          <cell r="C127" t="str">
            <v>search_keywords_5</v>
          </cell>
          <cell r="D127" t="str">
            <v>text</v>
          </cell>
          <cell r="E127">
            <v>16</v>
          </cell>
          <cell r="L127" t="str">
            <v>Eq</v>
          </cell>
          <cell r="M127" t="str">
            <v>-</v>
          </cell>
          <cell r="N127" t="str">
            <v>-</v>
          </cell>
          <cell r="Q127" t="str">
            <v>複合</v>
          </cell>
        </row>
        <row r="128">
          <cell r="C128" t="str">
            <v>genre1</v>
          </cell>
          <cell r="D128" t="str">
            <v>text</v>
          </cell>
          <cell r="E128">
            <v>16</v>
          </cell>
          <cell r="L128" t="str">
            <v>L(255)Eq</v>
          </cell>
          <cell r="M128" t="str">
            <v>○</v>
          </cell>
          <cell r="N128" t="str">
            <v>English</v>
          </cell>
          <cell r="Q128" t="str">
            <v>商品</v>
          </cell>
          <cell r="T128" t="str">
            <v>商品ジャンル（親含む）</v>
          </cell>
        </row>
        <row r="129">
          <cell r="C129" t="str">
            <v>genre2</v>
          </cell>
          <cell r="D129" t="str">
            <v>varchar</v>
          </cell>
          <cell r="E129">
            <v>255</v>
          </cell>
          <cell r="L129" t="str">
            <v>L(255)Eq</v>
          </cell>
          <cell r="M129" t="str">
            <v>○</v>
          </cell>
          <cell r="Q129" t="str">
            <v>商品</v>
          </cell>
          <cell r="T129" t="str">
            <v>商品ジャンル（末端だけ）</v>
          </cell>
        </row>
        <row r="130">
          <cell r="C130" t="str">
            <v>genre3</v>
          </cell>
          <cell r="D130" t="str">
            <v>varchar</v>
          </cell>
          <cell r="E130">
            <v>255</v>
          </cell>
          <cell r="L130" t="str">
            <v>L(255)Eq</v>
          </cell>
          <cell r="M130" t="str">
            <v>○</v>
          </cell>
          <cell r="Q130" t="str">
            <v>商品</v>
          </cell>
          <cell r="T130" t="str">
            <v>商品ジャンルメイン（親含む）</v>
          </cell>
        </row>
        <row r="131">
          <cell r="C131" t="str">
            <v>main_genre</v>
          </cell>
          <cell r="D131" t="str">
            <v>varchar</v>
          </cell>
          <cell r="E131">
            <v>50</v>
          </cell>
          <cell r="L131" t="str">
            <v>L(50)Eq</v>
          </cell>
          <cell r="M131" t="str">
            <v>○</v>
          </cell>
          <cell r="Q131" t="str">
            <v>商品</v>
          </cell>
          <cell r="T131" t="str">
            <v>商品ジャンルメイン（末端だけ）</v>
          </cell>
        </row>
        <row r="132">
          <cell r="C132" t="str">
            <v>search_genre_1</v>
          </cell>
          <cell r="D132" t="str">
            <v>varchar</v>
          </cell>
          <cell r="E132">
            <v>255</v>
          </cell>
          <cell r="L132" t="str">
            <v>L(255)Eq</v>
          </cell>
          <cell r="M132" t="str">
            <v>-</v>
          </cell>
          <cell r="Q132" t="str">
            <v>-</v>
          </cell>
        </row>
        <row r="133">
          <cell r="C133" t="str">
            <v>search_genre_2</v>
          </cell>
          <cell r="D133" t="str">
            <v>varchar</v>
          </cell>
          <cell r="E133">
            <v>255</v>
          </cell>
          <cell r="L133" t="str">
            <v>L(255)Eq</v>
          </cell>
          <cell r="M133" t="str">
            <v>-</v>
          </cell>
          <cell r="Q133" t="str">
            <v>-</v>
          </cell>
        </row>
        <row r="134">
          <cell r="C134" t="str">
            <v>search_genre_3</v>
          </cell>
          <cell r="D134" t="str">
            <v>varchar</v>
          </cell>
          <cell r="E134">
            <v>255</v>
          </cell>
          <cell r="L134" t="str">
            <v>L(255)Eq</v>
          </cell>
          <cell r="M134" t="str">
            <v>-</v>
          </cell>
          <cell r="Q134" t="str">
            <v>-</v>
          </cell>
        </row>
        <row r="135">
          <cell r="C135" t="str">
            <v>search_genre_4</v>
          </cell>
          <cell r="D135" t="str">
            <v>varchar</v>
          </cell>
          <cell r="E135">
            <v>255</v>
          </cell>
          <cell r="L135" t="str">
            <v>L(255)Eq</v>
          </cell>
          <cell r="M135" t="str">
            <v>-</v>
          </cell>
          <cell r="Q135" t="str">
            <v>-</v>
          </cell>
        </row>
        <row r="136">
          <cell r="C136" t="str">
            <v>search_genre_5</v>
          </cell>
          <cell r="D136" t="str">
            <v>varchar</v>
          </cell>
          <cell r="E136">
            <v>255</v>
          </cell>
          <cell r="L136" t="str">
            <v>L(255)Eq</v>
          </cell>
          <cell r="M136" t="str">
            <v>-</v>
          </cell>
          <cell r="Q136" t="str">
            <v>-</v>
          </cell>
        </row>
        <row r="137">
          <cell r="C137" t="str">
            <v>check_stock_type</v>
          </cell>
          <cell r="D137" t="str">
            <v>varchar</v>
          </cell>
          <cell r="E137">
            <v>50</v>
          </cell>
          <cell r="L137" t="str">
            <v>L(50)Eq</v>
          </cell>
          <cell r="M137" t="str">
            <v>○</v>
          </cell>
        </row>
        <row r="138">
          <cell r="C138" t="str">
            <v>optional_data_xml</v>
          </cell>
          <cell r="D138" t="str">
            <v>text</v>
          </cell>
          <cell r="E138">
            <v>16</v>
          </cell>
          <cell r="L138" t="str">
            <v>Eq</v>
          </cell>
          <cell r="M138" t="str">
            <v>-</v>
          </cell>
        </row>
        <row r="139">
          <cell r="C139" t="str">
            <v>date_created</v>
          </cell>
          <cell r="D139" t="str">
            <v>datetime</v>
          </cell>
          <cell r="E139">
            <v>8</v>
          </cell>
          <cell r="G139" t="str">
            <v>getdate()</v>
          </cell>
          <cell r="L139" t="str">
            <v>Eq</v>
          </cell>
          <cell r="M139" t="str">
            <v>○</v>
          </cell>
          <cell r="Q139" t="str">
            <v>-</v>
          </cell>
        </row>
        <row r="140">
          <cell r="C140" t="str">
            <v>date_changed</v>
          </cell>
          <cell r="D140" t="str">
            <v>datetime</v>
          </cell>
          <cell r="E140">
            <v>8</v>
          </cell>
          <cell r="G140" t="str">
            <v>getdate()</v>
          </cell>
          <cell r="L140" t="str">
            <v>Eq</v>
          </cell>
          <cell r="M140" t="str">
            <v>○</v>
          </cell>
          <cell r="Q140" t="str">
            <v>-</v>
          </cell>
        </row>
        <row r="141">
          <cell r="C141" t="str">
            <v>del_flag</v>
          </cell>
          <cell r="D141" t="str">
            <v>varchar</v>
          </cell>
          <cell r="E141">
            <v>10</v>
          </cell>
          <cell r="L141" t="str">
            <v>L(10)S[DEL]Eq</v>
          </cell>
          <cell r="M141" t="str">
            <v>○</v>
          </cell>
          <cell r="T141" t="str">
            <v>削除「DEL」</v>
          </cell>
        </row>
        <row r="142">
          <cell r="C142" t="str">
            <v>batch_flag</v>
          </cell>
          <cell r="D142" t="str">
            <v>varchar</v>
          </cell>
          <cell r="E142">
            <v>20</v>
          </cell>
          <cell r="L142" t="str">
            <v>L(20)Eq</v>
          </cell>
          <cell r="M142" t="str">
            <v>○</v>
          </cell>
          <cell r="T142" t="str">
            <v>バッチ処理でのみ使用する</v>
          </cell>
        </row>
      </sheetData>
      <sheetData sheetId="35" refreshError="1"/>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一覧"/>
      <sheetName val="変更履歴"/>
      <sheetName val="オークションテーブル一覧"/>
      <sheetName val="上げ幅(ba_bid_increment)"/>
      <sheetName val="入札(ba_bid)"/>
      <sheetName val="店舗取扱ｶｰﾄﾞ(ba_creditcard）"/>
      <sheetName val="ｵｰｸｼｮﾝ商品(ba_item)"/>
      <sheetName val="ｶｰﾄﾞ情報管理(ba_payment）"/>
      <sheetName val="買物カゴ(bc_basket) "/>
      <sheetName val="ASP版買物カゴ(bc_basket)"/>
      <sheetName val="買物カゴ明細（bc_basket_item）"/>
      <sheetName val="ﾚｼｰﾄ（bc_receipt）"/>
      <sheetName val="ASP版ﾚｼｰﾄ（bc_receipt）"/>
      <sheetName val="ﾚｼｰﾄ明細（bc_receipt_item）"/>
      <sheetName val="オークション買物カゴ(ba_basket)"/>
      <sheetName val="ASP版ﾚｼｰﾄ明細（bc_receipt_item）"/>
      <sheetName val="オークション買物カゴ明細（ba_basket_item"/>
      <sheetName val="予算管理ﾏｽﾀ（bc_budget）"/>
      <sheetName val="ﾊﾞｲﾔ企業（bc_buyer）"/>
      <sheetName val="コミュニティ（bc_community）"/>
      <sheetName val="業者ﾏｽﾀ（bc_deliver）"/>
      <sheetName val="商品ｶﾃｺﾞﾘ(bc_dept)"/>
      <sheetName val="評価（bc_evaluation）"/>
      <sheetName val="見込み客（bc_expected）"/>
      <sheetName val="ﾏｰｹﾃｨﾝｸﾞ（ｱﾝｹｰﾄ）（bc_marketting）"/>
      <sheetName val="ポイント引換管理（bc_point_exchange）"/>
      <sheetName val="商品属性(bc_product_attribute)"/>
      <sheetName val="商品(bc_product_family)"/>
      <sheetName val="商品ﾊﾞﾘｴｰｼｮﾝ（bc_product_variant）"/>
      <sheetName val="価格ｾｰﾙｽ（bc_promo_price）"/>
      <sheetName val="店舗ｶﾃｺﾞﾘ（bc_shopt_dept）"/>
      <sheetName val="店舗内商品ｶﾃｺﾞﾘ（bc_shopt_prd_dept）"/>
      <sheetName val="顧客(bc_shopper)"/>
      <sheetName val="顧客ﾎﾟｲﾝﾄ（bc_shoppin_point）"/>
      <sheetName val="ｽﾃｰﾀｽ変更履歴（bc_status_history）"/>
      <sheetName val="在庫（bc_stock）"/>
      <sheetName val="ｻﾌﾟﾗｲﾔ店舗（bc_supplier）"/>
      <sheetName val="OrderForm①設計"/>
      <sheetName val="OrderForm②設計"/>
      <sheetName val="商品評価履歴(bc_evaluation_history)"/>
      <sheetName val="ﾛｸﾞｲﾝ管理（bc_access_history）"/>
      <sheetName val="商品評価(bc_evaluation_criterion"/>
      <sheetName val="商品ｶﾃｺﾞﾘｶｳﾝﾄ(bc_dept_count)"/>
      <sheetName val="項目説明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3">
          <cell r="C3" t="str">
            <v>最終保存時刻（ 99/12/17 15:16:50 )    最終保存者名（ ベィテックシステムズ )</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63265-C125-4494-AC7F-E0A20D408A3B}">
  <sheetPr>
    <pageSetUpPr fitToPage="1"/>
  </sheetPr>
  <dimension ref="A1:W30"/>
  <sheetViews>
    <sheetView workbookViewId="0">
      <selection activeCell="E29" sqref="E29"/>
    </sheetView>
  </sheetViews>
  <sheetFormatPr defaultColWidth="8.90625" defaultRowHeight="13.2"/>
  <cols>
    <col min="1" max="1" width="3.1796875" style="193" customWidth="1"/>
    <col min="2" max="2" width="22.81640625" style="193" customWidth="1"/>
    <col min="3" max="3" width="20.54296875" style="193" customWidth="1"/>
    <col min="4" max="5" width="7.6328125" style="193" customWidth="1"/>
    <col min="6" max="6" width="4.08984375" style="202" customWidth="1"/>
    <col min="7" max="7" width="4.6328125" style="202" customWidth="1"/>
    <col min="8" max="8" width="4.08984375" style="193" customWidth="1"/>
    <col min="9" max="9" width="4.08984375" style="202" customWidth="1"/>
    <col min="10" max="11" width="4.08984375" style="193" customWidth="1"/>
    <col min="12" max="12" width="10.453125" style="193" customWidth="1"/>
    <col min="13" max="13" width="34.54296875" style="193" customWidth="1"/>
    <col min="14" max="15" width="3.08984375" style="193" customWidth="1"/>
    <col min="16" max="18" width="18.453125" style="193" customWidth="1"/>
    <col min="19" max="19" width="26.6328125" style="193" customWidth="1"/>
    <col min="20" max="20" width="26" style="193" customWidth="1"/>
    <col min="21" max="21" width="3.36328125" style="193" customWidth="1"/>
    <col min="22" max="22" width="6.6328125" style="193" customWidth="1"/>
    <col min="23" max="16384" width="8.90625" style="193"/>
  </cols>
  <sheetData>
    <row r="1" spans="1:23" ht="12.75" customHeight="1">
      <c r="A1" s="189" t="str">
        <f>HYPERLINK("#テーブル一覧!$A$1","テーブル一覧へ")</f>
        <v>テーブル一覧へ</v>
      </c>
      <c r="B1" s="190"/>
      <c r="C1" s="191"/>
      <c r="D1" s="191"/>
      <c r="E1" s="191"/>
      <c r="F1" s="191"/>
      <c r="G1" s="191"/>
      <c r="H1" s="191"/>
      <c r="I1" s="192"/>
      <c r="J1" s="192"/>
      <c r="K1" s="192"/>
      <c r="L1" s="192"/>
      <c r="M1" s="192"/>
      <c r="N1" s="192"/>
    </row>
    <row r="2" spans="1:23" s="196" customFormat="1" ht="16.2">
      <c r="A2" s="194"/>
      <c r="B2" s="194" t="s">
        <v>1913</v>
      </c>
      <c r="C2" s="194"/>
      <c r="D2" s="194"/>
      <c r="E2" s="194"/>
      <c r="F2" s="194"/>
      <c r="G2" s="195"/>
      <c r="H2" s="194"/>
      <c r="I2" s="194"/>
      <c r="J2" s="194"/>
      <c r="K2" s="194"/>
      <c r="L2" s="194"/>
      <c r="M2" s="194"/>
      <c r="N2" s="194"/>
    </row>
    <row r="3" spans="1:23" s="199" customFormat="1" ht="5.25" customHeight="1">
      <c r="A3" s="197"/>
      <c r="B3" s="197"/>
      <c r="C3" s="197"/>
      <c r="D3" s="197"/>
      <c r="E3" s="197"/>
      <c r="F3" s="197"/>
      <c r="G3" s="198"/>
      <c r="H3" s="197"/>
      <c r="I3" s="197"/>
      <c r="J3" s="197"/>
      <c r="K3" s="197"/>
      <c r="L3" s="197"/>
      <c r="M3" s="197"/>
      <c r="N3" s="197"/>
    </row>
    <row r="4" spans="1:23" ht="6" customHeight="1">
      <c r="A4" s="192"/>
      <c r="B4" s="192"/>
      <c r="C4" s="192"/>
      <c r="D4" s="192"/>
      <c r="E4" s="192"/>
      <c r="F4" s="191"/>
      <c r="G4" s="191"/>
      <c r="H4" s="192"/>
      <c r="I4" s="191"/>
      <c r="J4" s="192"/>
      <c r="K4" s="192"/>
      <c r="L4" s="192"/>
      <c r="M4" s="192"/>
      <c r="N4" s="192"/>
    </row>
    <row r="5" spans="1:23">
      <c r="A5" s="192"/>
      <c r="B5" s="200" t="s">
        <v>1914</v>
      </c>
      <c r="C5" s="200" t="s">
        <v>1915</v>
      </c>
      <c r="D5" s="201"/>
      <c r="E5" s="191"/>
      <c r="F5" s="191"/>
      <c r="G5" s="191"/>
      <c r="H5" s="191"/>
      <c r="I5" s="191"/>
      <c r="J5" s="191"/>
      <c r="K5" s="191"/>
      <c r="L5" s="191"/>
      <c r="M5" s="191"/>
      <c r="N5" s="191"/>
      <c r="O5" s="202"/>
      <c r="P5" s="202"/>
      <c r="Q5" s="202"/>
      <c r="R5" s="202"/>
    </row>
    <row r="6" spans="1:23">
      <c r="A6" s="192"/>
      <c r="B6" s="203" t="s">
        <v>1910</v>
      </c>
      <c r="C6" s="203" t="s">
        <v>1909</v>
      </c>
      <c r="D6" s="201"/>
      <c r="E6" s="191"/>
      <c r="F6" s="191"/>
      <c r="G6" s="191"/>
      <c r="H6" s="191"/>
      <c r="I6" s="191"/>
      <c r="J6" s="191"/>
      <c r="K6" s="191"/>
      <c r="L6" s="191"/>
      <c r="M6" s="191"/>
      <c r="N6" s="191"/>
      <c r="O6" s="191"/>
      <c r="P6" s="191"/>
      <c r="Q6" s="202"/>
      <c r="R6" s="202"/>
    </row>
    <row r="7" spans="1:23">
      <c r="A7" s="192"/>
      <c r="B7" s="192"/>
      <c r="C7" s="192"/>
      <c r="D7" s="192"/>
      <c r="E7" s="192"/>
      <c r="F7" s="191"/>
      <c r="G7" s="191"/>
      <c r="H7" s="192"/>
      <c r="I7" s="191"/>
      <c r="J7" s="192"/>
      <c r="K7" s="192"/>
      <c r="L7" s="192"/>
      <c r="M7" s="192"/>
      <c r="N7" s="192"/>
      <c r="O7" s="192"/>
      <c r="P7" s="192"/>
    </row>
    <row r="8" spans="1:23">
      <c r="A8" s="204" t="s">
        <v>1916</v>
      </c>
      <c r="B8" s="204" t="s">
        <v>1917</v>
      </c>
      <c r="C8" s="200" t="s">
        <v>1918</v>
      </c>
      <c r="D8" s="200" t="s">
        <v>1919</v>
      </c>
      <c r="E8" s="200" t="s">
        <v>1920</v>
      </c>
      <c r="F8" s="200" t="s">
        <v>1921</v>
      </c>
      <c r="G8" s="200" t="s">
        <v>1922</v>
      </c>
      <c r="H8" s="200" t="s">
        <v>1916</v>
      </c>
      <c r="I8" s="200" t="s">
        <v>1923</v>
      </c>
      <c r="J8" s="200" t="s">
        <v>1924</v>
      </c>
      <c r="K8" s="200" t="s">
        <v>1925</v>
      </c>
      <c r="L8" s="200" t="s">
        <v>1926</v>
      </c>
      <c r="M8" s="205" t="s">
        <v>1927</v>
      </c>
      <c r="N8" s="205" t="s">
        <v>1928</v>
      </c>
      <c r="O8" s="205"/>
      <c r="P8" s="206"/>
      <c r="Q8" s="207"/>
      <c r="R8" s="207"/>
      <c r="S8" s="208"/>
    </row>
    <row r="9" spans="1:23">
      <c r="A9" s="209">
        <v>1</v>
      </c>
      <c r="B9" s="203" t="s">
        <v>1929</v>
      </c>
      <c r="C9" s="210" t="s">
        <v>1930</v>
      </c>
      <c r="D9" s="211" t="s">
        <v>1931</v>
      </c>
      <c r="E9" s="211"/>
      <c r="F9" s="211"/>
      <c r="G9" s="211"/>
      <c r="H9" s="211"/>
      <c r="I9" s="211" t="s">
        <v>14</v>
      </c>
      <c r="J9" s="209"/>
      <c r="K9" s="209"/>
      <c r="L9" s="209"/>
      <c r="M9" s="203"/>
      <c r="N9" s="209"/>
      <c r="O9" s="209"/>
      <c r="P9" s="203"/>
      <c r="Q9" s="212"/>
      <c r="R9" s="212"/>
      <c r="S9" s="213"/>
      <c r="V9" s="214"/>
      <c r="W9" s="214"/>
    </row>
    <row r="10" spans="1:23">
      <c r="A10" s="209">
        <v>2</v>
      </c>
      <c r="B10" s="203" t="s">
        <v>178</v>
      </c>
      <c r="C10" s="210" t="s">
        <v>42</v>
      </c>
      <c r="D10" s="211" t="s">
        <v>1932</v>
      </c>
      <c r="E10" s="211">
        <v>8</v>
      </c>
      <c r="F10" s="211"/>
      <c r="G10" s="211"/>
      <c r="H10" s="211"/>
      <c r="I10" s="211" t="s">
        <v>14</v>
      </c>
      <c r="J10" s="209"/>
      <c r="K10" s="209"/>
      <c r="L10" s="209"/>
      <c r="M10" s="203"/>
      <c r="N10" s="209"/>
      <c r="O10" s="209"/>
      <c r="P10" s="203"/>
      <c r="Q10" s="212"/>
      <c r="R10" s="212"/>
      <c r="S10" s="213"/>
      <c r="V10" s="214"/>
      <c r="W10" s="214"/>
    </row>
    <row r="11" spans="1:23">
      <c r="A11" s="209">
        <v>3</v>
      </c>
      <c r="B11" s="203" t="s">
        <v>865</v>
      </c>
      <c r="C11" s="210" t="s">
        <v>866</v>
      </c>
      <c r="D11" s="211" t="s">
        <v>1933</v>
      </c>
      <c r="E11" s="211">
        <v>50</v>
      </c>
      <c r="F11" s="211"/>
      <c r="G11" s="211"/>
      <c r="H11" s="211"/>
      <c r="I11" s="211" t="s">
        <v>14</v>
      </c>
      <c r="J11" s="209"/>
      <c r="K11" s="209"/>
      <c r="L11" s="209"/>
      <c r="M11" s="203"/>
      <c r="N11" s="209"/>
      <c r="O11" s="209"/>
      <c r="P11" s="203"/>
      <c r="Q11" s="212"/>
      <c r="R11" s="212"/>
      <c r="S11" s="213"/>
      <c r="V11" s="214"/>
      <c r="W11" s="214"/>
    </row>
    <row r="12" spans="1:23" ht="39.6">
      <c r="A12" s="209">
        <v>4</v>
      </c>
      <c r="B12" s="203" t="s">
        <v>1934</v>
      </c>
      <c r="C12" s="210" t="s">
        <v>1935</v>
      </c>
      <c r="D12" s="211" t="s">
        <v>1932</v>
      </c>
      <c r="E12" s="211">
        <v>8</v>
      </c>
      <c r="F12" s="211" t="s">
        <v>14</v>
      </c>
      <c r="G12" s="211"/>
      <c r="H12" s="211"/>
      <c r="I12" s="211"/>
      <c r="J12" s="209"/>
      <c r="K12" s="209"/>
      <c r="L12" s="209"/>
      <c r="M12" s="203" t="s">
        <v>1936</v>
      </c>
      <c r="N12" s="209"/>
      <c r="O12" s="209"/>
      <c r="P12" s="215"/>
      <c r="Q12" s="216"/>
      <c r="R12" s="216"/>
      <c r="S12" s="213"/>
      <c r="V12" s="214"/>
      <c r="W12" s="214"/>
    </row>
    <row r="13" spans="1:23">
      <c r="A13" s="209">
        <v>5</v>
      </c>
      <c r="B13" s="203" t="s">
        <v>1937</v>
      </c>
      <c r="C13" s="203" t="s">
        <v>1938</v>
      </c>
      <c r="D13" s="211" t="s">
        <v>1933</v>
      </c>
      <c r="E13" s="211">
        <v>500</v>
      </c>
      <c r="F13" s="211" t="s">
        <v>14</v>
      </c>
      <c r="G13" s="211"/>
      <c r="H13" s="211"/>
      <c r="I13" s="211"/>
      <c r="J13" s="209"/>
      <c r="K13" s="209"/>
      <c r="L13" s="209"/>
      <c r="M13" s="203"/>
      <c r="N13" s="209"/>
      <c r="O13" s="209"/>
      <c r="P13" s="215"/>
      <c r="Q13" s="216"/>
      <c r="R13" s="216"/>
      <c r="S13" s="213"/>
      <c r="V13" s="214"/>
      <c r="W13" s="214"/>
    </row>
    <row r="14" spans="1:23">
      <c r="A14" s="209">
        <v>6</v>
      </c>
      <c r="B14" s="203" t="s">
        <v>1939</v>
      </c>
      <c r="C14" s="190" t="s">
        <v>1940</v>
      </c>
      <c r="D14" s="211" t="s">
        <v>1933</v>
      </c>
      <c r="E14" s="211">
        <v>500</v>
      </c>
      <c r="F14" s="211" t="s">
        <v>14</v>
      </c>
      <c r="G14" s="211"/>
      <c r="H14" s="211"/>
      <c r="I14" s="211"/>
      <c r="J14" s="209"/>
      <c r="K14" s="209"/>
      <c r="L14" s="209"/>
      <c r="M14" s="209"/>
      <c r="N14" s="209"/>
      <c r="O14" s="209"/>
      <c r="P14" s="209"/>
      <c r="Q14" s="213"/>
      <c r="R14" s="213"/>
      <c r="S14" s="213"/>
      <c r="V14" s="214"/>
      <c r="W14" s="214"/>
    </row>
    <row r="15" spans="1:23">
      <c r="A15" s="209">
        <v>7</v>
      </c>
      <c r="B15" s="203" t="s">
        <v>1941</v>
      </c>
      <c r="C15" s="210" t="s">
        <v>1765</v>
      </c>
      <c r="D15" s="211" t="s">
        <v>1933</v>
      </c>
      <c r="E15" s="211">
        <v>500</v>
      </c>
      <c r="F15" s="211" t="s">
        <v>14</v>
      </c>
      <c r="G15" s="211"/>
      <c r="H15" s="211"/>
      <c r="I15" s="211"/>
      <c r="J15" s="209"/>
      <c r="K15" s="209"/>
      <c r="L15" s="209"/>
      <c r="M15" s="209"/>
      <c r="N15" s="209"/>
      <c r="O15" s="209"/>
      <c r="P15" s="209"/>
      <c r="Q15" s="213"/>
      <c r="R15" s="213"/>
      <c r="S15" s="213"/>
      <c r="V15" s="214"/>
      <c r="W15" s="214"/>
    </row>
    <row r="16" spans="1:23" ht="66">
      <c r="A16" s="209">
        <v>8</v>
      </c>
      <c r="B16" s="203" t="s">
        <v>1942</v>
      </c>
      <c r="C16" s="210" t="s">
        <v>1943</v>
      </c>
      <c r="D16" s="211" t="s">
        <v>1932</v>
      </c>
      <c r="E16" s="211">
        <v>8</v>
      </c>
      <c r="F16" s="211" t="s">
        <v>14</v>
      </c>
      <c r="G16" s="211"/>
      <c r="H16" s="211"/>
      <c r="I16" s="211"/>
      <c r="J16" s="209"/>
      <c r="K16" s="209"/>
      <c r="L16" s="209"/>
      <c r="M16" s="203" t="s">
        <v>1944</v>
      </c>
      <c r="N16" s="209"/>
      <c r="O16" s="209"/>
      <c r="P16" s="209"/>
      <c r="Q16" s="213"/>
      <c r="R16" s="213"/>
      <c r="S16" s="213"/>
      <c r="V16" s="214"/>
      <c r="W16" s="214"/>
    </row>
    <row r="17" spans="1:23">
      <c r="A17" s="209">
        <v>9</v>
      </c>
      <c r="B17" s="203" t="s">
        <v>1945</v>
      </c>
      <c r="C17" s="210" t="s">
        <v>1946</v>
      </c>
      <c r="D17" s="211" t="s">
        <v>1932</v>
      </c>
      <c r="E17" s="211">
        <v>8</v>
      </c>
      <c r="F17" s="211" t="s">
        <v>14</v>
      </c>
      <c r="G17" s="211"/>
      <c r="H17" s="211"/>
      <c r="I17" s="211"/>
      <c r="J17" s="209"/>
      <c r="K17" s="209"/>
      <c r="L17" s="209"/>
      <c r="M17" s="209" t="s">
        <v>1947</v>
      </c>
      <c r="N17" s="209"/>
      <c r="O17" s="209"/>
      <c r="P17" s="209"/>
      <c r="Q17" s="213"/>
      <c r="R17" s="213"/>
      <c r="S17" s="213"/>
      <c r="V17" s="214"/>
      <c r="W17" s="214"/>
    </row>
    <row r="18" spans="1:23" ht="12.75" customHeight="1">
      <c r="A18" s="209">
        <v>10</v>
      </c>
      <c r="B18" s="203" t="s">
        <v>1948</v>
      </c>
      <c r="C18" s="210" t="s">
        <v>1949</v>
      </c>
      <c r="D18" s="211" t="s">
        <v>1932</v>
      </c>
      <c r="E18" s="211">
        <v>8</v>
      </c>
      <c r="F18" s="211" t="s">
        <v>14</v>
      </c>
      <c r="G18" s="211"/>
      <c r="H18" s="211"/>
      <c r="I18" s="211"/>
      <c r="J18" s="209"/>
      <c r="K18" s="209"/>
      <c r="L18" s="209"/>
      <c r="M18" s="209" t="s">
        <v>1950</v>
      </c>
      <c r="N18" s="209"/>
      <c r="O18" s="209"/>
      <c r="P18" s="209"/>
      <c r="Q18" s="213"/>
      <c r="R18" s="213"/>
      <c r="S18" s="213"/>
      <c r="V18" s="214"/>
      <c r="W18" s="214"/>
    </row>
    <row r="19" spans="1:23">
      <c r="A19" s="209">
        <v>11</v>
      </c>
      <c r="B19" s="203" t="s">
        <v>1951</v>
      </c>
      <c r="C19" s="210" t="s">
        <v>16</v>
      </c>
      <c r="D19" s="211" t="s">
        <v>17</v>
      </c>
      <c r="E19" s="211">
        <v>8</v>
      </c>
      <c r="F19" s="211"/>
      <c r="G19" s="211"/>
      <c r="H19" s="211"/>
      <c r="I19" s="211"/>
      <c r="J19" s="209"/>
      <c r="K19" s="209"/>
      <c r="L19" s="209"/>
      <c r="M19" s="209"/>
      <c r="N19" s="209"/>
      <c r="O19" s="209"/>
      <c r="P19" s="209"/>
      <c r="Q19" s="213"/>
      <c r="R19" s="213"/>
      <c r="S19" s="213"/>
      <c r="V19" s="214"/>
      <c r="W19" s="214"/>
    </row>
    <row r="20" spans="1:23">
      <c r="A20" s="209">
        <v>12</v>
      </c>
      <c r="B20" s="203" t="s">
        <v>1952</v>
      </c>
      <c r="C20" s="203" t="s">
        <v>18</v>
      </c>
      <c r="D20" s="211" t="s">
        <v>1953</v>
      </c>
      <c r="E20" s="211">
        <v>8</v>
      </c>
      <c r="F20" s="211"/>
      <c r="G20" s="211"/>
      <c r="H20" s="211"/>
      <c r="I20" s="211"/>
      <c r="J20" s="209"/>
      <c r="K20" s="209"/>
      <c r="L20" s="209"/>
      <c r="M20" s="209"/>
      <c r="N20" s="209"/>
      <c r="O20" s="209"/>
      <c r="P20" s="209"/>
      <c r="Q20" s="213"/>
      <c r="R20" s="213"/>
      <c r="S20" s="213"/>
      <c r="V20" s="214"/>
      <c r="W20" s="214"/>
    </row>
    <row r="21" spans="1:23">
      <c r="A21" s="209">
        <v>13</v>
      </c>
      <c r="B21" s="203" t="s">
        <v>45</v>
      </c>
      <c r="C21" s="209" t="s">
        <v>46</v>
      </c>
      <c r="D21" s="211" t="s">
        <v>1954</v>
      </c>
      <c r="E21" s="211">
        <v>10</v>
      </c>
      <c r="F21" s="211"/>
      <c r="G21" s="211"/>
      <c r="H21" s="211"/>
      <c r="I21" s="211"/>
      <c r="J21" s="209"/>
      <c r="K21" s="209"/>
      <c r="L21" s="209"/>
      <c r="M21" s="209"/>
      <c r="N21" s="209"/>
      <c r="O21" s="209"/>
      <c r="P21" s="209"/>
      <c r="Q21" s="213"/>
      <c r="R21" s="213"/>
      <c r="S21" s="213"/>
      <c r="V21" s="214"/>
      <c r="W21" s="214"/>
    </row>
    <row r="22" spans="1:23">
      <c r="A22" s="209">
        <v>14</v>
      </c>
      <c r="B22" s="209" t="s">
        <v>19</v>
      </c>
      <c r="C22" s="209" t="s">
        <v>20</v>
      </c>
      <c r="D22" s="211" t="s">
        <v>17</v>
      </c>
      <c r="E22" s="211">
        <v>40</v>
      </c>
      <c r="F22" s="211"/>
      <c r="G22" s="211"/>
      <c r="H22" s="209"/>
      <c r="I22" s="211"/>
      <c r="J22" s="209"/>
      <c r="K22" s="209"/>
      <c r="L22" s="209"/>
      <c r="M22" s="209" t="s">
        <v>1955</v>
      </c>
      <c r="N22" s="209"/>
      <c r="O22" s="209"/>
      <c r="P22" s="215"/>
      <c r="Q22" s="216"/>
      <c r="R22" s="216"/>
      <c r="S22" s="213"/>
      <c r="V22" s="214"/>
      <c r="W22" s="214"/>
    </row>
    <row r="23" spans="1:23">
      <c r="A23" s="209">
        <v>15</v>
      </c>
      <c r="B23" s="203" t="s">
        <v>21</v>
      </c>
      <c r="C23" s="209" t="s">
        <v>22</v>
      </c>
      <c r="D23" s="211" t="s">
        <v>17</v>
      </c>
      <c r="E23" s="211">
        <v>40</v>
      </c>
      <c r="F23" s="211"/>
      <c r="G23" s="211"/>
      <c r="H23" s="209"/>
      <c r="I23" s="211"/>
      <c r="J23" s="209"/>
      <c r="K23" s="209"/>
      <c r="L23" s="209"/>
      <c r="M23" s="209" t="s">
        <v>1956</v>
      </c>
      <c r="N23" s="209"/>
      <c r="O23" s="209"/>
      <c r="P23" s="215"/>
      <c r="Q23" s="216"/>
      <c r="R23" s="216"/>
      <c r="S23" s="213"/>
      <c r="V23" s="214"/>
      <c r="W23" s="214"/>
    </row>
    <row r="24" spans="1:23">
      <c r="A24" s="192"/>
      <c r="B24" s="192"/>
      <c r="C24" s="192"/>
      <c r="D24" s="192"/>
      <c r="E24" s="192"/>
      <c r="F24" s="191"/>
      <c r="G24" s="191"/>
      <c r="H24" s="192"/>
      <c r="I24" s="191"/>
      <c r="J24" s="192"/>
      <c r="K24" s="192"/>
      <c r="L24" s="192"/>
      <c r="M24" s="192"/>
      <c r="N24" s="192"/>
      <c r="O24" s="192"/>
      <c r="P24" s="192"/>
    </row>
    <row r="25" spans="1:23">
      <c r="A25" s="192"/>
      <c r="B25" s="192"/>
      <c r="C25" s="192"/>
      <c r="D25" s="191"/>
      <c r="E25" s="191"/>
      <c r="F25" s="191"/>
      <c r="G25" s="191"/>
      <c r="H25" s="192"/>
      <c r="I25" s="191"/>
      <c r="J25" s="192"/>
      <c r="K25" s="192"/>
      <c r="L25" s="192"/>
      <c r="M25" s="192"/>
      <c r="N25" s="192"/>
      <c r="O25" s="192"/>
      <c r="P25" s="192"/>
    </row>
    <row r="26" spans="1:23">
      <c r="A26" s="192"/>
      <c r="B26" s="192"/>
      <c r="C26" s="192"/>
      <c r="D26" s="191"/>
      <c r="E26" s="191"/>
      <c r="F26" s="191"/>
      <c r="G26" s="191"/>
      <c r="H26" s="192"/>
      <c r="I26" s="191"/>
      <c r="J26" s="192"/>
      <c r="K26" s="192"/>
      <c r="L26" s="192"/>
      <c r="M26" s="192"/>
      <c r="N26" s="192"/>
      <c r="O26" s="192"/>
      <c r="P26" s="192"/>
    </row>
    <row r="27" spans="1:23">
      <c r="A27" s="192"/>
      <c r="B27" s="192"/>
      <c r="C27" s="192"/>
      <c r="D27" s="191"/>
      <c r="E27" s="191"/>
      <c r="F27" s="191"/>
      <c r="G27" s="191"/>
      <c r="H27" s="192"/>
      <c r="I27" s="191"/>
      <c r="J27" s="192"/>
      <c r="K27" s="192"/>
      <c r="L27" s="192"/>
      <c r="M27" s="192"/>
      <c r="N27" s="192"/>
      <c r="O27" s="192"/>
      <c r="P27" s="192"/>
      <c r="V27" s="214"/>
      <c r="W27" s="214"/>
    </row>
    <row r="28" spans="1:23">
      <c r="A28" s="192"/>
      <c r="B28" s="192"/>
      <c r="C28" s="192"/>
      <c r="D28" s="192"/>
      <c r="E28" s="191"/>
      <c r="F28" s="191"/>
      <c r="G28" s="191"/>
      <c r="H28" s="192"/>
      <c r="I28" s="191"/>
      <c r="J28" s="192"/>
      <c r="K28" s="192"/>
      <c r="L28" s="192"/>
      <c r="M28" s="192"/>
      <c r="N28" s="192"/>
      <c r="O28" s="192"/>
      <c r="P28" s="192"/>
      <c r="V28" s="214"/>
      <c r="W28" s="214"/>
    </row>
    <row r="29" spans="1:23">
      <c r="A29" s="192"/>
      <c r="B29" s="192"/>
      <c r="C29" s="192"/>
      <c r="D29" s="191"/>
      <c r="E29" s="191"/>
      <c r="F29" s="191"/>
      <c r="G29" s="191"/>
      <c r="H29" s="192"/>
      <c r="I29" s="191"/>
      <c r="J29" s="192"/>
      <c r="K29" s="192"/>
      <c r="L29" s="192"/>
      <c r="M29" s="192"/>
      <c r="N29" s="192"/>
      <c r="O29" s="192"/>
      <c r="P29" s="192"/>
      <c r="V29" s="214"/>
      <c r="W29" s="214"/>
    </row>
    <row r="30" spans="1:23">
      <c r="A30" s="192"/>
      <c r="B30" s="192"/>
      <c r="C30" s="192"/>
      <c r="D30" s="191"/>
      <c r="E30" s="191"/>
      <c r="F30" s="191"/>
      <c r="G30" s="191"/>
      <c r="H30" s="192"/>
      <c r="I30" s="191"/>
      <c r="J30" s="192"/>
      <c r="K30" s="192"/>
      <c r="L30" s="192"/>
      <c r="M30" s="192"/>
      <c r="N30" s="192"/>
      <c r="O30" s="192"/>
      <c r="P30" s="192"/>
      <c r="V30" s="214"/>
      <c r="W30" s="214"/>
    </row>
  </sheetData>
  <phoneticPr fontId="2"/>
  <pageMargins left="0.43307086614173229" right="0.35433070866141736" top="0.44" bottom="0.52" header="0.2" footer="0.2"/>
  <pageSetup paperSize="9" scale="33" fitToHeight="0" orientation="portrait"/>
  <headerFooter alignWithMargins="0">
    <oddHeader>&amp;LUCFテーブル定義表</oddHeader>
    <oddFooter>&amp;L-ユナイテット・クルー-&amp;C&amp;P&amp;R&amp;A</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E5313-2107-4F23-936C-EBED690352D8}">
  <sheetPr codeName="Sheet1">
    <tabColor theme="4"/>
  </sheetPr>
  <dimension ref="A2:G56"/>
  <sheetViews>
    <sheetView showGridLines="0" tabSelected="1" topLeftCell="A32" workbookViewId="0">
      <selection activeCell="J13" sqref="J13"/>
    </sheetView>
  </sheetViews>
  <sheetFormatPr defaultColWidth="8.90625" defaultRowHeight="15"/>
  <cols>
    <col min="1" max="1" width="3.08984375" style="44" customWidth="1"/>
    <col min="2" max="2" width="4.6328125" style="44" customWidth="1"/>
    <col min="3" max="3" width="35.6328125" style="44" customWidth="1"/>
    <col min="4" max="4" width="28.81640625" style="44" customWidth="1"/>
    <col min="5" max="5" width="52.453125" style="44" customWidth="1"/>
    <col min="6" max="7" width="13.90625" style="44" customWidth="1"/>
    <col min="8" max="16384" width="8.90625" style="44"/>
  </cols>
  <sheetData>
    <row r="2" spans="1:7">
      <c r="A2" s="73"/>
      <c r="B2" s="134" t="s">
        <v>4</v>
      </c>
      <c r="C2" s="73"/>
      <c r="D2" s="73"/>
      <c r="E2" s="73"/>
      <c r="F2" s="73"/>
      <c r="G2" s="73"/>
    </row>
    <row r="3" spans="1:7" ht="5.25" customHeight="1">
      <c r="A3" s="74"/>
      <c r="B3" s="74"/>
      <c r="C3" s="74"/>
      <c r="D3" s="74"/>
      <c r="E3" s="74"/>
      <c r="F3" s="74"/>
      <c r="G3" s="74"/>
    </row>
    <row r="6" spans="1:7">
      <c r="B6" s="72" t="s">
        <v>0</v>
      </c>
      <c r="C6" s="72" t="s">
        <v>1</v>
      </c>
      <c r="D6" s="72" t="s">
        <v>5</v>
      </c>
      <c r="E6" s="72" t="s">
        <v>2</v>
      </c>
      <c r="F6" s="72" t="s">
        <v>3</v>
      </c>
      <c r="G6" s="72" t="s">
        <v>6</v>
      </c>
    </row>
    <row r="7" spans="1:7">
      <c r="B7" s="30">
        <f t="shared" ref="B7:B56" si="0">ROW()-6</f>
        <v>1</v>
      </c>
      <c r="C7" s="30" t="s">
        <v>87</v>
      </c>
      <c r="D7" s="30">
        <v>760</v>
      </c>
      <c r="E7" s="30" t="s">
        <v>1050</v>
      </c>
      <c r="F7" s="70"/>
      <c r="G7" s="30"/>
    </row>
    <row r="8" spans="1:7">
      <c r="B8" s="30">
        <f>ROW()-6</f>
        <v>2</v>
      </c>
      <c r="C8" s="30" t="s">
        <v>1146</v>
      </c>
      <c r="D8" s="30">
        <v>760</v>
      </c>
      <c r="E8" s="30" t="s">
        <v>1050</v>
      </c>
      <c r="F8" s="70">
        <v>45243</v>
      </c>
      <c r="G8" s="30" t="s">
        <v>1051</v>
      </c>
    </row>
    <row r="9" spans="1:7">
      <c r="B9" s="30">
        <f t="shared" si="0"/>
        <v>3</v>
      </c>
      <c r="C9" s="30" t="s">
        <v>95</v>
      </c>
      <c r="D9" s="30">
        <v>760</v>
      </c>
      <c r="E9" s="30" t="s">
        <v>1050</v>
      </c>
      <c r="F9" s="70">
        <v>45243</v>
      </c>
      <c r="G9" s="30" t="s">
        <v>1051</v>
      </c>
    </row>
    <row r="10" spans="1:7">
      <c r="B10" s="30">
        <f t="shared" si="0"/>
        <v>4</v>
      </c>
      <c r="C10" s="30" t="s">
        <v>119</v>
      </c>
      <c r="D10" s="30">
        <v>760</v>
      </c>
      <c r="E10" s="30" t="s">
        <v>1050</v>
      </c>
      <c r="F10" s="70">
        <v>45243</v>
      </c>
      <c r="G10" s="30" t="s">
        <v>1051</v>
      </c>
    </row>
    <row r="11" spans="1:7">
      <c r="B11" s="30">
        <f t="shared" si="0"/>
        <v>5</v>
      </c>
      <c r="C11" s="30" t="s">
        <v>479</v>
      </c>
      <c r="D11" s="30">
        <v>760</v>
      </c>
      <c r="E11" s="30" t="s">
        <v>1050</v>
      </c>
      <c r="F11" s="70">
        <v>45243</v>
      </c>
      <c r="G11" s="30" t="s">
        <v>1051</v>
      </c>
    </row>
    <row r="12" spans="1:7">
      <c r="B12" s="30">
        <f t="shared" si="0"/>
        <v>6</v>
      </c>
      <c r="C12" s="30" t="s">
        <v>507</v>
      </c>
      <c r="D12" s="30">
        <v>760</v>
      </c>
      <c r="E12" s="30" t="s">
        <v>1050</v>
      </c>
      <c r="F12" s="70">
        <v>45243</v>
      </c>
      <c r="G12" s="30" t="s">
        <v>1051</v>
      </c>
    </row>
    <row r="13" spans="1:7">
      <c r="B13" s="30">
        <f t="shared" si="0"/>
        <v>7</v>
      </c>
      <c r="C13" s="30" t="s">
        <v>125</v>
      </c>
      <c r="D13" s="30">
        <v>760</v>
      </c>
      <c r="E13" s="30" t="s">
        <v>1050</v>
      </c>
      <c r="F13" s="70">
        <v>45243</v>
      </c>
      <c r="G13" s="30" t="s">
        <v>1051</v>
      </c>
    </row>
    <row r="14" spans="1:7">
      <c r="B14" s="30">
        <f t="shared" si="0"/>
        <v>8</v>
      </c>
      <c r="C14" s="30" t="s">
        <v>90</v>
      </c>
      <c r="D14" s="30">
        <v>760</v>
      </c>
      <c r="E14" s="30" t="s">
        <v>1050</v>
      </c>
      <c r="F14" s="70">
        <v>45243</v>
      </c>
      <c r="G14" s="30" t="s">
        <v>1051</v>
      </c>
    </row>
    <row r="15" spans="1:7">
      <c r="B15" s="30">
        <f t="shared" si="0"/>
        <v>9</v>
      </c>
      <c r="C15" s="30" t="s">
        <v>91</v>
      </c>
      <c r="D15" s="30">
        <v>760</v>
      </c>
      <c r="E15" s="30" t="s">
        <v>1050</v>
      </c>
      <c r="F15" s="70">
        <v>45243</v>
      </c>
      <c r="G15" s="30" t="s">
        <v>1051</v>
      </c>
    </row>
    <row r="16" spans="1:7">
      <c r="B16" s="30">
        <f t="shared" si="0"/>
        <v>10</v>
      </c>
      <c r="C16" s="30" t="s">
        <v>1048</v>
      </c>
      <c r="D16" s="30">
        <v>760</v>
      </c>
      <c r="E16" s="30" t="s">
        <v>1050</v>
      </c>
      <c r="F16" s="70">
        <v>45243</v>
      </c>
      <c r="G16" s="30" t="s">
        <v>1051</v>
      </c>
    </row>
    <row r="17" spans="2:7">
      <c r="B17" s="30">
        <f t="shared" si="0"/>
        <v>11</v>
      </c>
      <c r="C17" s="30" t="s">
        <v>1049</v>
      </c>
      <c r="D17" s="30">
        <v>760</v>
      </c>
      <c r="E17" s="30" t="s">
        <v>1050</v>
      </c>
      <c r="F17" s="70">
        <v>45243</v>
      </c>
      <c r="G17" s="30" t="s">
        <v>1051</v>
      </c>
    </row>
    <row r="18" spans="2:7">
      <c r="B18" s="30">
        <f t="shared" si="0"/>
        <v>12</v>
      </c>
      <c r="C18" s="30" t="s">
        <v>100</v>
      </c>
      <c r="D18" s="30">
        <v>760</v>
      </c>
      <c r="E18" s="30" t="s">
        <v>1050</v>
      </c>
      <c r="F18" s="70">
        <v>45243</v>
      </c>
      <c r="G18" s="30" t="s">
        <v>1051</v>
      </c>
    </row>
    <row r="19" spans="2:7">
      <c r="B19" s="30">
        <f t="shared" si="0"/>
        <v>13</v>
      </c>
      <c r="C19" s="30" t="s">
        <v>102</v>
      </c>
      <c r="D19" s="30">
        <v>760</v>
      </c>
      <c r="E19" s="30" t="s">
        <v>1050</v>
      </c>
      <c r="F19" s="70">
        <v>45243</v>
      </c>
      <c r="G19" s="30" t="s">
        <v>1051</v>
      </c>
    </row>
    <row r="20" spans="2:7">
      <c r="B20" s="30">
        <f t="shared" si="0"/>
        <v>14</v>
      </c>
      <c r="C20" s="30" t="s">
        <v>87</v>
      </c>
      <c r="D20" s="30">
        <v>760</v>
      </c>
      <c r="E20" s="30" t="s">
        <v>1052</v>
      </c>
      <c r="F20" s="70">
        <v>45243</v>
      </c>
      <c r="G20" s="30" t="s">
        <v>1051</v>
      </c>
    </row>
    <row r="21" spans="2:7">
      <c r="B21" s="30">
        <f t="shared" si="0"/>
        <v>15</v>
      </c>
      <c r="C21" s="30" t="s">
        <v>125</v>
      </c>
      <c r="D21" s="30">
        <v>760</v>
      </c>
      <c r="E21" s="30" t="s">
        <v>1136</v>
      </c>
      <c r="F21" s="70">
        <v>45247</v>
      </c>
      <c r="G21" s="30" t="s">
        <v>1051</v>
      </c>
    </row>
    <row r="22" spans="2:7">
      <c r="B22" s="30">
        <f t="shared" si="0"/>
        <v>16</v>
      </c>
      <c r="C22" s="30" t="s">
        <v>1146</v>
      </c>
      <c r="D22" s="30" t="s">
        <v>136</v>
      </c>
      <c r="E22" s="30" t="s">
        <v>1147</v>
      </c>
      <c r="F22" s="70">
        <v>45247</v>
      </c>
      <c r="G22" s="30" t="s">
        <v>1051</v>
      </c>
    </row>
    <row r="23" spans="2:7">
      <c r="B23" s="30">
        <f t="shared" si="0"/>
        <v>17</v>
      </c>
      <c r="C23" s="30" t="s">
        <v>1146</v>
      </c>
      <c r="D23" s="30" t="s">
        <v>136</v>
      </c>
      <c r="E23" s="30" t="s">
        <v>1148</v>
      </c>
      <c r="F23" s="70">
        <v>45258</v>
      </c>
      <c r="G23" s="30" t="s">
        <v>1051</v>
      </c>
    </row>
    <row r="24" spans="2:7">
      <c r="B24" s="30">
        <f t="shared" si="0"/>
        <v>18</v>
      </c>
      <c r="C24" s="43" t="s">
        <v>402</v>
      </c>
      <c r="D24" s="30" t="s">
        <v>136</v>
      </c>
      <c r="E24" s="30" t="s">
        <v>1147</v>
      </c>
      <c r="F24" s="70">
        <v>45260</v>
      </c>
      <c r="G24" s="30" t="s">
        <v>1051</v>
      </c>
    </row>
    <row r="25" spans="2:7">
      <c r="B25" s="30">
        <f t="shared" si="0"/>
        <v>19</v>
      </c>
      <c r="C25" s="75"/>
      <c r="D25" s="30" t="s">
        <v>136</v>
      </c>
      <c r="E25" s="30" t="s">
        <v>1148</v>
      </c>
      <c r="F25" s="70">
        <v>45260</v>
      </c>
      <c r="G25" s="30" t="s">
        <v>1051</v>
      </c>
    </row>
    <row r="26" spans="2:7">
      <c r="B26" s="30">
        <f t="shared" si="0"/>
        <v>20</v>
      </c>
      <c r="C26" s="30" t="s">
        <v>1224</v>
      </c>
      <c r="D26" s="30">
        <v>760</v>
      </c>
      <c r="E26" s="30" t="s">
        <v>1050</v>
      </c>
      <c r="F26" s="70">
        <v>45280</v>
      </c>
      <c r="G26" s="30" t="s">
        <v>1228</v>
      </c>
    </row>
    <row r="27" spans="2:7">
      <c r="B27" s="30">
        <f t="shared" si="0"/>
        <v>21</v>
      </c>
      <c r="C27" s="30" t="s">
        <v>1325</v>
      </c>
      <c r="D27" s="30">
        <v>760</v>
      </c>
      <c r="E27" s="30" t="s">
        <v>1326</v>
      </c>
      <c r="F27" s="70">
        <v>45288</v>
      </c>
      <c r="G27" s="30" t="s">
        <v>1051</v>
      </c>
    </row>
    <row r="28" spans="2:7">
      <c r="B28" s="30">
        <f t="shared" si="0"/>
        <v>22</v>
      </c>
      <c r="C28" s="30" t="s">
        <v>1325</v>
      </c>
      <c r="D28" s="30">
        <v>760</v>
      </c>
      <c r="E28" s="30" t="s">
        <v>1330</v>
      </c>
      <c r="F28" s="70">
        <v>45295</v>
      </c>
      <c r="G28" s="30" t="s">
        <v>1051</v>
      </c>
    </row>
    <row r="29" spans="2:7">
      <c r="B29" s="30">
        <f t="shared" si="0"/>
        <v>23</v>
      </c>
      <c r="C29" s="30" t="s">
        <v>90</v>
      </c>
      <c r="D29" s="30">
        <v>760</v>
      </c>
      <c r="E29" s="30" t="s">
        <v>1331</v>
      </c>
      <c r="F29" s="70">
        <v>45300</v>
      </c>
      <c r="G29" s="30" t="s">
        <v>1051</v>
      </c>
    </row>
    <row r="30" spans="2:7">
      <c r="B30" s="30">
        <f t="shared" si="0"/>
        <v>24</v>
      </c>
      <c r="C30" s="30" t="s">
        <v>87</v>
      </c>
      <c r="D30" s="30">
        <v>760</v>
      </c>
      <c r="E30" s="30" t="s">
        <v>1357</v>
      </c>
      <c r="F30" s="70">
        <v>45309.663715277777</v>
      </c>
      <c r="G30" s="30" t="s">
        <v>1051</v>
      </c>
    </row>
    <row r="31" spans="2:7" ht="30">
      <c r="B31" s="30">
        <f t="shared" si="0"/>
        <v>25</v>
      </c>
      <c r="C31" s="30" t="s">
        <v>1396</v>
      </c>
      <c r="D31" s="30">
        <v>760</v>
      </c>
      <c r="E31" s="124" t="s">
        <v>1397</v>
      </c>
      <c r="F31" s="70">
        <v>45314</v>
      </c>
      <c r="G31" s="30" t="s">
        <v>1051</v>
      </c>
    </row>
    <row r="32" spans="2:7" ht="30">
      <c r="B32" s="30">
        <f t="shared" si="0"/>
        <v>26</v>
      </c>
      <c r="C32" s="30" t="s">
        <v>1398</v>
      </c>
      <c r="D32" s="30">
        <v>760</v>
      </c>
      <c r="E32" s="124" t="s">
        <v>1409</v>
      </c>
      <c r="F32" s="70">
        <v>45314</v>
      </c>
      <c r="G32" s="30" t="s">
        <v>1051</v>
      </c>
    </row>
    <row r="33" spans="2:7" ht="30">
      <c r="B33" s="30">
        <f t="shared" si="0"/>
        <v>27</v>
      </c>
      <c r="C33" s="30" t="s">
        <v>1408</v>
      </c>
      <c r="D33" s="30">
        <v>760</v>
      </c>
      <c r="E33" s="124" t="s">
        <v>1409</v>
      </c>
      <c r="F33" s="70">
        <v>45314</v>
      </c>
      <c r="G33" s="30" t="s">
        <v>1051</v>
      </c>
    </row>
    <row r="34" spans="2:7">
      <c r="B34" s="30">
        <f t="shared" si="0"/>
        <v>28</v>
      </c>
      <c r="C34" s="30" t="s">
        <v>1496</v>
      </c>
      <c r="D34" s="30">
        <v>760</v>
      </c>
      <c r="E34" s="30" t="s">
        <v>1498</v>
      </c>
      <c r="F34" s="70">
        <v>45330</v>
      </c>
      <c r="G34" s="30" t="s">
        <v>1051</v>
      </c>
    </row>
    <row r="35" spans="2:7">
      <c r="B35" s="30">
        <f t="shared" si="0"/>
        <v>29</v>
      </c>
      <c r="C35" s="30" t="s">
        <v>1497</v>
      </c>
      <c r="D35" s="30">
        <v>760</v>
      </c>
      <c r="E35" s="30" t="s">
        <v>1499</v>
      </c>
      <c r="F35" s="70">
        <v>45330</v>
      </c>
      <c r="G35" s="30" t="s">
        <v>1051</v>
      </c>
    </row>
    <row r="36" spans="2:7">
      <c r="B36" s="30">
        <f t="shared" si="0"/>
        <v>30</v>
      </c>
      <c r="C36" s="30" t="s">
        <v>1509</v>
      </c>
      <c r="D36" s="30">
        <v>760</v>
      </c>
      <c r="E36" s="30" t="s">
        <v>1510</v>
      </c>
      <c r="F36" s="70">
        <v>45362</v>
      </c>
      <c r="G36" s="30" t="s">
        <v>1511</v>
      </c>
    </row>
    <row r="37" spans="2:7">
      <c r="B37" s="30">
        <f t="shared" si="0"/>
        <v>31</v>
      </c>
      <c r="C37" s="30" t="s">
        <v>1577</v>
      </c>
      <c r="D37" s="30">
        <v>760</v>
      </c>
      <c r="E37" s="30" t="s">
        <v>1578</v>
      </c>
      <c r="F37" s="70">
        <v>45362</v>
      </c>
      <c r="G37" s="30" t="s">
        <v>1511</v>
      </c>
    </row>
    <row r="38" spans="2:7">
      <c r="B38" s="30">
        <f t="shared" si="0"/>
        <v>32</v>
      </c>
      <c r="C38" s="30" t="s">
        <v>1585</v>
      </c>
      <c r="D38" s="30">
        <v>760</v>
      </c>
      <c r="E38" s="30" t="s">
        <v>1587</v>
      </c>
      <c r="F38" s="70">
        <v>45365</v>
      </c>
      <c r="G38" s="30" t="s">
        <v>1511</v>
      </c>
    </row>
    <row r="39" spans="2:7">
      <c r="B39" s="30">
        <f t="shared" si="0"/>
        <v>33</v>
      </c>
      <c r="C39" s="30" t="s">
        <v>1588</v>
      </c>
      <c r="D39" s="30">
        <v>760</v>
      </c>
      <c r="E39" s="30" t="s">
        <v>1589</v>
      </c>
      <c r="F39" s="70">
        <v>45365</v>
      </c>
      <c r="G39" s="30" t="s">
        <v>1511</v>
      </c>
    </row>
    <row r="40" spans="2:7" ht="30">
      <c r="B40" s="30">
        <f t="shared" si="0"/>
        <v>34</v>
      </c>
      <c r="C40" s="30" t="s">
        <v>88</v>
      </c>
      <c r="D40" s="30">
        <v>760</v>
      </c>
      <c r="E40" s="124" t="s">
        <v>1598</v>
      </c>
      <c r="F40" s="70">
        <v>45369</v>
      </c>
      <c r="G40" s="30" t="s">
        <v>1594</v>
      </c>
    </row>
    <row r="41" spans="2:7">
      <c r="B41" s="30">
        <f t="shared" si="0"/>
        <v>35</v>
      </c>
      <c r="C41" s="30" t="s">
        <v>507</v>
      </c>
      <c r="D41" s="30">
        <v>760</v>
      </c>
      <c r="E41" s="124" t="s">
        <v>1599</v>
      </c>
      <c r="F41" s="70">
        <v>45369</v>
      </c>
      <c r="G41" s="30" t="s">
        <v>1594</v>
      </c>
    </row>
    <row r="42" spans="2:7">
      <c r="B42" s="30">
        <f t="shared" si="0"/>
        <v>36</v>
      </c>
      <c r="C42" s="30" t="s">
        <v>1604</v>
      </c>
      <c r="D42" s="30">
        <v>760</v>
      </c>
      <c r="E42" s="30" t="s">
        <v>1050</v>
      </c>
      <c r="F42" s="70">
        <v>45369</v>
      </c>
      <c r="G42" s="30" t="s">
        <v>1051</v>
      </c>
    </row>
    <row r="43" spans="2:7">
      <c r="B43" s="30">
        <f t="shared" si="0"/>
        <v>37</v>
      </c>
      <c r="C43" s="30" t="s">
        <v>1817</v>
      </c>
      <c r="D43" s="30">
        <v>760</v>
      </c>
      <c r="E43" s="30" t="s">
        <v>1050</v>
      </c>
      <c r="F43" s="70">
        <v>45369</v>
      </c>
      <c r="G43" s="30" t="s">
        <v>1051</v>
      </c>
    </row>
    <row r="44" spans="2:7" ht="30">
      <c r="B44" s="30">
        <f t="shared" si="0"/>
        <v>38</v>
      </c>
      <c r="C44" s="30" t="s">
        <v>507</v>
      </c>
      <c r="D44" s="30">
        <v>760</v>
      </c>
      <c r="E44" s="124" t="s">
        <v>1827</v>
      </c>
      <c r="F44" s="70">
        <v>45370</v>
      </c>
      <c r="G44" s="30" t="s">
        <v>1051</v>
      </c>
    </row>
    <row r="45" spans="2:7">
      <c r="B45" s="30">
        <f t="shared" si="0"/>
        <v>39</v>
      </c>
      <c r="C45" s="30" t="s">
        <v>88</v>
      </c>
      <c r="D45" s="30">
        <v>760</v>
      </c>
      <c r="E45" s="124" t="s">
        <v>1830</v>
      </c>
      <c r="F45" s="70">
        <v>45370</v>
      </c>
      <c r="G45" s="30" t="s">
        <v>1051</v>
      </c>
    </row>
    <row r="46" spans="2:7">
      <c r="B46" s="30">
        <f t="shared" si="0"/>
        <v>40</v>
      </c>
      <c r="C46" s="30" t="s">
        <v>1840</v>
      </c>
      <c r="D46" s="30">
        <v>760</v>
      </c>
      <c r="E46" s="30" t="s">
        <v>1841</v>
      </c>
      <c r="F46" s="70">
        <v>45370</v>
      </c>
      <c r="G46" s="30" t="s">
        <v>1051</v>
      </c>
    </row>
    <row r="47" spans="2:7">
      <c r="B47" s="30">
        <f t="shared" si="0"/>
        <v>41</v>
      </c>
      <c r="C47" s="30" t="s">
        <v>1840</v>
      </c>
      <c r="D47" s="30">
        <v>760</v>
      </c>
      <c r="E47" s="30" t="s">
        <v>1843</v>
      </c>
      <c r="F47" s="70">
        <v>45370</v>
      </c>
      <c r="G47" s="30" t="s">
        <v>1051</v>
      </c>
    </row>
    <row r="48" spans="2:7">
      <c r="B48" s="30">
        <f t="shared" si="0"/>
        <v>42</v>
      </c>
      <c r="C48" s="30" t="s">
        <v>1840</v>
      </c>
      <c r="D48" s="30">
        <v>760</v>
      </c>
      <c r="E48" s="30" t="s">
        <v>1854</v>
      </c>
      <c r="F48" s="70">
        <v>45378</v>
      </c>
      <c r="G48" s="30" t="s">
        <v>1051</v>
      </c>
    </row>
    <row r="49" spans="2:7">
      <c r="B49" s="30">
        <f t="shared" si="0"/>
        <v>43</v>
      </c>
      <c r="C49" s="30" t="s">
        <v>1817</v>
      </c>
      <c r="D49" s="30">
        <v>760</v>
      </c>
      <c r="E49" s="30" t="s">
        <v>1857</v>
      </c>
      <c r="F49" s="70">
        <v>45401</v>
      </c>
      <c r="G49" s="30" t="s">
        <v>1051</v>
      </c>
    </row>
    <row r="50" spans="2:7">
      <c r="B50" s="30">
        <f t="shared" si="0"/>
        <v>44</v>
      </c>
      <c r="C50" s="30" t="s">
        <v>1865</v>
      </c>
      <c r="D50" s="30">
        <v>760</v>
      </c>
      <c r="E50" s="30" t="s">
        <v>1867</v>
      </c>
      <c r="F50" s="70">
        <v>45403</v>
      </c>
      <c r="G50" s="30" t="s">
        <v>1051</v>
      </c>
    </row>
    <row r="51" spans="2:7" ht="30">
      <c r="B51" s="30">
        <f t="shared" si="0"/>
        <v>45</v>
      </c>
      <c r="C51" s="30" t="s">
        <v>103</v>
      </c>
      <c r="D51" s="30">
        <v>760</v>
      </c>
      <c r="E51" s="124" t="s">
        <v>1895</v>
      </c>
      <c r="F51" s="70">
        <v>45419</v>
      </c>
      <c r="G51" s="30" t="s">
        <v>1051</v>
      </c>
    </row>
    <row r="52" spans="2:7">
      <c r="B52" s="30">
        <f t="shared" si="0"/>
        <v>46</v>
      </c>
      <c r="C52" s="30" t="s">
        <v>1896</v>
      </c>
      <c r="D52" s="30">
        <v>760</v>
      </c>
      <c r="E52" s="30" t="s">
        <v>1897</v>
      </c>
      <c r="F52" s="70">
        <v>45419</v>
      </c>
      <c r="G52" s="30" t="s">
        <v>1051</v>
      </c>
    </row>
    <row r="53" spans="2:7">
      <c r="B53" s="30">
        <f t="shared" si="0"/>
        <v>47</v>
      </c>
      <c r="C53" s="30" t="s">
        <v>1907</v>
      </c>
      <c r="D53" s="30">
        <v>760</v>
      </c>
      <c r="E53" s="30" t="s">
        <v>1908</v>
      </c>
      <c r="F53" s="70">
        <v>45454</v>
      </c>
      <c r="G53" s="30" t="s">
        <v>1051</v>
      </c>
    </row>
    <row r="54" spans="2:7">
      <c r="B54" s="30">
        <f t="shared" si="0"/>
        <v>48</v>
      </c>
      <c r="C54" s="187" t="s">
        <v>1910</v>
      </c>
      <c r="D54" s="76"/>
      <c r="E54" s="76" t="s">
        <v>1911</v>
      </c>
      <c r="F54" s="186">
        <v>45533</v>
      </c>
      <c r="G54" s="76" t="s">
        <v>1912</v>
      </c>
    </row>
    <row r="55" spans="2:7" ht="45">
      <c r="B55" s="30">
        <f t="shared" si="0"/>
        <v>49</v>
      </c>
      <c r="C55" s="76" t="s">
        <v>1907</v>
      </c>
      <c r="D55" s="76">
        <v>760</v>
      </c>
      <c r="E55" s="224" t="s">
        <v>1958</v>
      </c>
      <c r="F55" s="186">
        <v>45580</v>
      </c>
      <c r="G55" s="76" t="s">
        <v>1051</v>
      </c>
    </row>
    <row r="56" spans="2:7">
      <c r="B56" s="30">
        <f t="shared" si="0"/>
        <v>50</v>
      </c>
      <c r="C56" s="30" t="s">
        <v>1963</v>
      </c>
      <c r="D56" s="30">
        <v>760</v>
      </c>
      <c r="E56" s="30" t="s">
        <v>1966</v>
      </c>
      <c r="F56" s="70">
        <v>45630</v>
      </c>
      <c r="G56" s="30" t="s">
        <v>1964</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FDCD-DB62-48A9-88CF-ADDA6DA82649}">
  <sheetPr codeName="Sheet2">
    <tabColor theme="4"/>
  </sheetPr>
  <dimension ref="B2:L32"/>
  <sheetViews>
    <sheetView showGridLines="0" workbookViewId="0">
      <pane ySplit="4" topLeftCell="A5" activePane="bottomLeft" state="frozen"/>
      <selection activeCell="C38" sqref="C38:G47"/>
      <selection pane="bottomLeft" activeCell="E22" sqref="E22"/>
    </sheetView>
  </sheetViews>
  <sheetFormatPr defaultRowHeight="15"/>
  <cols>
    <col min="1" max="1" width="1.1796875" customWidth="1"/>
    <col min="2" max="2" width="4.90625" customWidth="1"/>
    <col min="3" max="3" width="15.1796875" customWidth="1"/>
    <col min="4" max="4" width="29.36328125" customWidth="1"/>
    <col min="5" max="5" width="42.81640625" customWidth="1"/>
    <col min="6" max="6" width="43.08984375" bestFit="1" customWidth="1"/>
    <col min="7" max="8" width="7.08984375" customWidth="1"/>
    <col min="9" max="11" width="11.36328125" style="18" customWidth="1"/>
    <col min="12" max="12" width="11.6328125" bestFit="1" customWidth="1"/>
  </cols>
  <sheetData>
    <row r="2" spans="2:12" ht="16.2">
      <c r="B2" s="3"/>
      <c r="C2" s="36" t="s">
        <v>7</v>
      </c>
      <c r="D2" s="37" t="s">
        <v>9</v>
      </c>
      <c r="E2" s="37"/>
      <c r="F2" s="5"/>
      <c r="G2" s="5"/>
      <c r="H2" s="5"/>
      <c r="I2" s="16"/>
      <c r="J2" s="16"/>
      <c r="K2" s="16"/>
      <c r="L2" s="5"/>
    </row>
    <row r="3" spans="2:12">
      <c r="C3" s="44"/>
      <c r="D3" s="44"/>
      <c r="E3" s="44"/>
    </row>
    <row r="4" spans="2:12" ht="24">
      <c r="B4" s="17" t="s">
        <v>8</v>
      </c>
      <c r="C4" s="17" t="s">
        <v>37</v>
      </c>
      <c r="D4" s="17" t="s">
        <v>84</v>
      </c>
      <c r="E4" s="17" t="s">
        <v>1149</v>
      </c>
      <c r="F4" s="17" t="s">
        <v>15</v>
      </c>
      <c r="G4" s="22" t="s">
        <v>137</v>
      </c>
      <c r="H4" s="22" t="s">
        <v>138</v>
      </c>
      <c r="I4" s="21" t="s">
        <v>130</v>
      </c>
      <c r="J4" s="21" t="s">
        <v>131</v>
      </c>
      <c r="K4" s="21" t="s">
        <v>132</v>
      </c>
      <c r="L4" s="21" t="s">
        <v>133</v>
      </c>
    </row>
    <row r="5" spans="2:12">
      <c r="B5" s="30">
        <f>ROW()-4</f>
        <v>1</v>
      </c>
      <c r="C5" s="30" t="s">
        <v>94</v>
      </c>
      <c r="D5" s="30" t="s">
        <v>111</v>
      </c>
      <c r="E5" s="125" t="s">
        <v>173</v>
      </c>
      <c r="F5" s="30" t="s">
        <v>117</v>
      </c>
      <c r="G5" s="31" t="s">
        <v>419</v>
      </c>
      <c r="H5" s="31" t="s">
        <v>139</v>
      </c>
      <c r="I5" s="32" t="s">
        <v>136</v>
      </c>
      <c r="J5" s="32" t="s">
        <v>136</v>
      </c>
      <c r="K5" s="32" t="s">
        <v>136</v>
      </c>
      <c r="L5" s="30"/>
    </row>
    <row r="6" spans="2:12">
      <c r="B6" s="30">
        <f t="shared" ref="B6:B30" si="0">ROW()-4</f>
        <v>2</v>
      </c>
      <c r="C6" s="30" t="s">
        <v>93</v>
      </c>
      <c r="D6" s="30" t="s">
        <v>112</v>
      </c>
      <c r="E6" s="125" t="s">
        <v>95</v>
      </c>
      <c r="F6" s="30" t="s">
        <v>118</v>
      </c>
      <c r="G6" s="31" t="s">
        <v>419</v>
      </c>
      <c r="H6" s="31" t="s">
        <v>139</v>
      </c>
      <c r="I6" s="32" t="s">
        <v>136</v>
      </c>
      <c r="J6" s="32" t="s">
        <v>136</v>
      </c>
      <c r="K6" s="32" t="s">
        <v>136</v>
      </c>
      <c r="L6" s="30"/>
    </row>
    <row r="7" spans="2:12">
      <c r="B7" s="30">
        <f t="shared" si="0"/>
        <v>3</v>
      </c>
      <c r="C7" s="30" t="s">
        <v>94</v>
      </c>
      <c r="D7" s="30" t="s">
        <v>114</v>
      </c>
      <c r="E7" s="125" t="s">
        <v>119</v>
      </c>
      <c r="F7" s="30" t="s">
        <v>120</v>
      </c>
      <c r="G7" s="31" t="s">
        <v>419</v>
      </c>
      <c r="H7" s="31" t="s">
        <v>139</v>
      </c>
      <c r="I7" s="32" t="s">
        <v>136</v>
      </c>
      <c r="J7" s="32" t="s">
        <v>136</v>
      </c>
      <c r="K7" s="32" t="s">
        <v>136</v>
      </c>
      <c r="L7" s="30"/>
    </row>
    <row r="8" spans="2:12">
      <c r="B8" s="30">
        <f t="shared" si="0"/>
        <v>4</v>
      </c>
      <c r="C8" s="30" t="s">
        <v>94</v>
      </c>
      <c r="D8" s="30" t="s">
        <v>115</v>
      </c>
      <c r="E8" s="125" t="s">
        <v>88</v>
      </c>
      <c r="F8" s="30" t="s">
        <v>121</v>
      </c>
      <c r="G8" s="31" t="s">
        <v>139</v>
      </c>
      <c r="H8" s="31" t="s">
        <v>139</v>
      </c>
      <c r="I8" s="32" t="s">
        <v>136</v>
      </c>
      <c r="J8" s="32" t="s">
        <v>136</v>
      </c>
      <c r="K8" s="32" t="s">
        <v>136</v>
      </c>
      <c r="L8" s="30"/>
    </row>
    <row r="9" spans="2:12">
      <c r="B9" s="30">
        <f t="shared" si="0"/>
        <v>5</v>
      </c>
      <c r="C9" s="30" t="s">
        <v>93</v>
      </c>
      <c r="D9" s="30" t="s">
        <v>116</v>
      </c>
      <c r="E9" s="125" t="s">
        <v>507</v>
      </c>
      <c r="F9" s="30" t="s">
        <v>122</v>
      </c>
      <c r="G9" s="31" t="s">
        <v>139</v>
      </c>
      <c r="H9" s="31" t="s">
        <v>139</v>
      </c>
      <c r="I9" s="32" t="s">
        <v>136</v>
      </c>
      <c r="J9" s="32" t="s">
        <v>136</v>
      </c>
      <c r="K9" s="32" t="s">
        <v>136</v>
      </c>
      <c r="L9" s="30"/>
    </row>
    <row r="10" spans="2:12">
      <c r="B10" s="30">
        <f t="shared" si="0"/>
        <v>6</v>
      </c>
      <c r="C10" s="30" t="s">
        <v>94</v>
      </c>
      <c r="D10" s="30" t="s">
        <v>1818</v>
      </c>
      <c r="E10" s="142" t="s">
        <v>1604</v>
      </c>
      <c r="F10" s="30" t="s">
        <v>1820</v>
      </c>
      <c r="G10" s="31" t="s">
        <v>1822</v>
      </c>
      <c r="H10" s="31" t="s">
        <v>139</v>
      </c>
      <c r="I10" s="32" t="s">
        <v>136</v>
      </c>
      <c r="J10" s="32" t="s">
        <v>136</v>
      </c>
      <c r="K10" s="32" t="s">
        <v>136</v>
      </c>
      <c r="L10" s="30"/>
    </row>
    <row r="11" spans="2:12">
      <c r="B11" s="30">
        <f t="shared" si="0"/>
        <v>7</v>
      </c>
      <c r="C11" s="30" t="s">
        <v>93</v>
      </c>
      <c r="D11" s="30" t="s">
        <v>1819</v>
      </c>
      <c r="E11" s="142" t="s">
        <v>1817</v>
      </c>
      <c r="F11" s="30" t="s">
        <v>1821</v>
      </c>
      <c r="G11" s="31" t="s">
        <v>1822</v>
      </c>
      <c r="H11" s="31" t="s">
        <v>139</v>
      </c>
      <c r="I11" s="32" t="s">
        <v>136</v>
      </c>
      <c r="J11" s="32" t="s">
        <v>136</v>
      </c>
      <c r="K11" s="32" t="s">
        <v>136</v>
      </c>
      <c r="L11" s="30"/>
    </row>
    <row r="12" spans="2:12">
      <c r="B12" s="30">
        <f t="shared" si="0"/>
        <v>8</v>
      </c>
      <c r="C12" s="30" t="s">
        <v>93</v>
      </c>
      <c r="D12" s="30" t="s">
        <v>617</v>
      </c>
      <c r="E12" s="125" t="s">
        <v>90</v>
      </c>
      <c r="F12" s="30" t="s">
        <v>126</v>
      </c>
      <c r="G12" s="31" t="s">
        <v>419</v>
      </c>
      <c r="H12" s="31" t="s">
        <v>139</v>
      </c>
      <c r="I12" s="32" t="s">
        <v>136</v>
      </c>
      <c r="J12" s="32" t="s">
        <v>136</v>
      </c>
      <c r="K12" s="32" t="s">
        <v>136</v>
      </c>
      <c r="L12" s="30"/>
    </row>
    <row r="13" spans="2:12">
      <c r="B13" s="30">
        <f t="shared" si="0"/>
        <v>9</v>
      </c>
      <c r="C13" s="30" t="s">
        <v>93</v>
      </c>
      <c r="D13" s="30" t="s">
        <v>618</v>
      </c>
      <c r="E13" s="125" t="s">
        <v>91</v>
      </c>
      <c r="F13" s="30" t="s">
        <v>127</v>
      </c>
      <c r="G13" s="31" t="s">
        <v>419</v>
      </c>
      <c r="H13" s="31" t="s">
        <v>139</v>
      </c>
      <c r="I13" s="32" t="s">
        <v>136</v>
      </c>
      <c r="J13" s="32" t="s">
        <v>136</v>
      </c>
      <c r="K13" s="32" t="s">
        <v>136</v>
      </c>
      <c r="L13" s="30"/>
    </row>
    <row r="14" spans="2:12">
      <c r="B14" s="30">
        <f t="shared" si="0"/>
        <v>10</v>
      </c>
      <c r="C14" s="30" t="s">
        <v>93</v>
      </c>
      <c r="D14" s="30" t="s">
        <v>1485</v>
      </c>
      <c r="E14" s="126" t="s">
        <v>1487</v>
      </c>
      <c r="F14" s="30" t="s">
        <v>1488</v>
      </c>
      <c r="G14" s="31" t="s">
        <v>419</v>
      </c>
      <c r="H14" s="31" t="s">
        <v>139</v>
      </c>
      <c r="I14" s="32" t="s">
        <v>136</v>
      </c>
      <c r="J14" s="32" t="s">
        <v>136</v>
      </c>
      <c r="K14" s="32" t="s">
        <v>136</v>
      </c>
      <c r="L14" s="30"/>
    </row>
    <row r="15" spans="2:12">
      <c r="B15" s="30">
        <f t="shared" si="0"/>
        <v>11</v>
      </c>
      <c r="C15" s="30" t="s">
        <v>93</v>
      </c>
      <c r="D15" s="30" t="s">
        <v>97</v>
      </c>
      <c r="E15" s="125" t="s">
        <v>96</v>
      </c>
      <c r="F15" s="30" t="s">
        <v>861</v>
      </c>
      <c r="G15" s="31" t="s">
        <v>419</v>
      </c>
      <c r="H15" s="31" t="s">
        <v>139</v>
      </c>
      <c r="I15" s="32" t="s">
        <v>136</v>
      </c>
      <c r="J15" s="32" t="s">
        <v>136</v>
      </c>
      <c r="K15" s="32" t="s">
        <v>136</v>
      </c>
      <c r="L15" s="30"/>
    </row>
    <row r="16" spans="2:12">
      <c r="B16" s="30">
        <f t="shared" si="0"/>
        <v>12</v>
      </c>
      <c r="C16" s="30" t="s">
        <v>93</v>
      </c>
      <c r="D16" s="30" t="s">
        <v>98</v>
      </c>
      <c r="E16" s="125" t="s">
        <v>99</v>
      </c>
      <c r="F16" s="30" t="s">
        <v>128</v>
      </c>
      <c r="G16" s="31" t="s">
        <v>419</v>
      </c>
      <c r="H16" s="31" t="s">
        <v>139</v>
      </c>
      <c r="I16" s="32" t="s">
        <v>136</v>
      </c>
      <c r="J16" s="32" t="s">
        <v>136</v>
      </c>
      <c r="K16" s="32" t="s">
        <v>136</v>
      </c>
      <c r="L16" s="30"/>
    </row>
    <row r="17" spans="2:12">
      <c r="B17" s="30">
        <f t="shared" si="0"/>
        <v>13</v>
      </c>
      <c r="C17" s="30" t="s">
        <v>93</v>
      </c>
      <c r="D17" s="33" t="s">
        <v>101</v>
      </c>
      <c r="E17" s="125" t="s">
        <v>100</v>
      </c>
      <c r="F17" s="30" t="s">
        <v>129</v>
      </c>
      <c r="G17" s="31" t="s">
        <v>139</v>
      </c>
      <c r="H17" s="31" t="s">
        <v>139</v>
      </c>
      <c r="I17" s="32" t="s">
        <v>136</v>
      </c>
      <c r="J17" s="32" t="s">
        <v>136</v>
      </c>
      <c r="K17" s="32" t="s">
        <v>136</v>
      </c>
      <c r="L17" s="30"/>
    </row>
    <row r="18" spans="2:12">
      <c r="B18" s="30">
        <f t="shared" si="0"/>
        <v>14</v>
      </c>
      <c r="C18" s="30" t="s">
        <v>93</v>
      </c>
      <c r="D18" s="30" t="s">
        <v>105</v>
      </c>
      <c r="E18" s="125" t="s">
        <v>103</v>
      </c>
      <c r="F18" s="30" t="s">
        <v>1059</v>
      </c>
      <c r="G18" s="31" t="s">
        <v>139</v>
      </c>
      <c r="H18" s="31" t="s">
        <v>139</v>
      </c>
      <c r="I18" s="32" t="s">
        <v>136</v>
      </c>
      <c r="J18" s="32" t="s">
        <v>136</v>
      </c>
      <c r="K18" s="32" t="s">
        <v>136</v>
      </c>
      <c r="L18" s="30"/>
    </row>
    <row r="19" spans="2:12" s="157" customFormat="1">
      <c r="B19" s="153">
        <f t="shared" si="0"/>
        <v>15</v>
      </c>
      <c r="C19" s="153" t="s">
        <v>94</v>
      </c>
      <c r="D19" s="153" t="s">
        <v>123</v>
      </c>
      <c r="E19" s="154" t="s">
        <v>125</v>
      </c>
      <c r="F19" s="153" t="s">
        <v>1845</v>
      </c>
      <c r="G19" s="155" t="s">
        <v>139</v>
      </c>
      <c r="H19" s="155" t="s">
        <v>139</v>
      </c>
      <c r="I19" s="156" t="s">
        <v>136</v>
      </c>
      <c r="J19" s="156" t="s">
        <v>136</v>
      </c>
      <c r="K19" s="156" t="s">
        <v>136</v>
      </c>
      <c r="L19" s="153"/>
    </row>
    <row r="20" spans="2:12" s="157" customFormat="1">
      <c r="B20" s="153">
        <f t="shared" si="0"/>
        <v>16</v>
      </c>
      <c r="C20" s="153" t="s">
        <v>1226</v>
      </c>
      <c r="D20" s="153" t="s">
        <v>1225</v>
      </c>
      <c r="E20" s="154" t="s">
        <v>1224</v>
      </c>
      <c r="F20" s="153" t="s">
        <v>1846</v>
      </c>
      <c r="G20" s="155" t="s">
        <v>1227</v>
      </c>
      <c r="H20" s="155" t="s">
        <v>1227</v>
      </c>
      <c r="I20" s="156" t="s">
        <v>136</v>
      </c>
      <c r="J20" s="156" t="s">
        <v>136</v>
      </c>
      <c r="K20" s="156" t="s">
        <v>136</v>
      </c>
      <c r="L20" s="153"/>
    </row>
    <row r="21" spans="2:12" s="157" customFormat="1">
      <c r="B21" s="153">
        <f t="shared" si="0"/>
        <v>17</v>
      </c>
      <c r="C21" s="153" t="s">
        <v>93</v>
      </c>
      <c r="D21" s="153" t="s">
        <v>89</v>
      </c>
      <c r="E21" s="154" t="s">
        <v>87</v>
      </c>
      <c r="F21" s="153" t="s">
        <v>1847</v>
      </c>
      <c r="G21" s="155" t="s">
        <v>139</v>
      </c>
      <c r="H21" s="155" t="s">
        <v>139</v>
      </c>
      <c r="I21" s="156" t="s">
        <v>136</v>
      </c>
      <c r="J21" s="156" t="s">
        <v>136</v>
      </c>
      <c r="K21" s="156" t="s">
        <v>136</v>
      </c>
      <c r="L21" s="153"/>
    </row>
    <row r="22" spans="2:12">
      <c r="B22" s="30">
        <f t="shared" si="0"/>
        <v>18</v>
      </c>
      <c r="C22" s="30" t="s">
        <v>94</v>
      </c>
      <c r="D22" s="188" t="s">
        <v>1909</v>
      </c>
      <c r="E22" s="188" t="s">
        <v>1910</v>
      </c>
      <c r="F22" s="30"/>
      <c r="G22" s="31"/>
      <c r="H22" s="31"/>
      <c r="I22" s="34"/>
      <c r="J22" s="34"/>
      <c r="K22" s="34"/>
      <c r="L22" s="30"/>
    </row>
    <row r="23" spans="2:12">
      <c r="B23" s="30">
        <f t="shared" si="0"/>
        <v>19</v>
      </c>
      <c r="C23" s="30"/>
      <c r="D23" s="30"/>
      <c r="E23" s="30"/>
      <c r="F23" s="30"/>
      <c r="G23" s="31"/>
      <c r="H23" s="31"/>
      <c r="I23" s="34"/>
      <c r="J23" s="34"/>
      <c r="K23" s="34"/>
      <c r="L23" s="30"/>
    </row>
    <row r="24" spans="2:12">
      <c r="B24" s="30">
        <f t="shared" si="0"/>
        <v>20</v>
      </c>
      <c r="C24" s="30"/>
      <c r="D24" s="30"/>
      <c r="E24" s="30"/>
      <c r="F24" s="30"/>
      <c r="G24" s="31"/>
      <c r="H24" s="31"/>
      <c r="I24" s="34"/>
      <c r="J24" s="34"/>
      <c r="K24" s="34"/>
      <c r="L24" s="30"/>
    </row>
    <row r="25" spans="2:12">
      <c r="B25" s="30">
        <f t="shared" si="0"/>
        <v>21</v>
      </c>
      <c r="C25" s="30"/>
      <c r="D25" s="30"/>
      <c r="E25" s="30"/>
      <c r="F25" s="30"/>
      <c r="G25" s="31"/>
      <c r="H25" s="31"/>
      <c r="I25" s="34"/>
      <c r="J25" s="34"/>
      <c r="K25" s="34"/>
      <c r="L25" s="30"/>
    </row>
    <row r="26" spans="2:12">
      <c r="B26" s="30">
        <f t="shared" si="0"/>
        <v>22</v>
      </c>
      <c r="C26" s="30"/>
      <c r="D26" s="30"/>
      <c r="E26" s="30"/>
      <c r="F26" s="30"/>
      <c r="G26" s="31"/>
      <c r="H26" s="31"/>
      <c r="I26" s="34"/>
      <c r="J26" s="34"/>
      <c r="K26" s="34"/>
      <c r="L26" s="30"/>
    </row>
    <row r="27" spans="2:12">
      <c r="B27" s="30">
        <f t="shared" si="0"/>
        <v>23</v>
      </c>
      <c r="C27" s="30"/>
      <c r="D27" s="30"/>
      <c r="E27" s="30"/>
      <c r="F27" s="30"/>
      <c r="G27" s="31"/>
      <c r="H27" s="31"/>
      <c r="I27" s="34"/>
      <c r="J27" s="34"/>
      <c r="K27" s="34"/>
      <c r="L27" s="30"/>
    </row>
    <row r="28" spans="2:12">
      <c r="B28" s="30">
        <f t="shared" si="0"/>
        <v>24</v>
      </c>
      <c r="C28" s="30"/>
      <c r="D28" s="30"/>
      <c r="E28" s="30"/>
      <c r="F28" s="30"/>
      <c r="G28" s="31"/>
      <c r="H28" s="31"/>
      <c r="I28" s="34"/>
      <c r="J28" s="34"/>
      <c r="K28" s="34"/>
      <c r="L28" s="30"/>
    </row>
    <row r="29" spans="2:12">
      <c r="B29" s="30">
        <f t="shared" si="0"/>
        <v>25</v>
      </c>
      <c r="C29" s="30"/>
      <c r="D29" s="30"/>
      <c r="E29" s="30"/>
      <c r="F29" s="30"/>
      <c r="G29" s="31"/>
      <c r="H29" s="31"/>
      <c r="I29" s="34"/>
      <c r="J29" s="34"/>
      <c r="K29" s="34"/>
      <c r="L29" s="30"/>
    </row>
    <row r="30" spans="2:12">
      <c r="B30" s="30">
        <f t="shared" si="0"/>
        <v>26</v>
      </c>
      <c r="C30" s="30"/>
      <c r="D30" s="30"/>
      <c r="E30" s="30"/>
      <c r="F30" s="30"/>
      <c r="G30" s="31"/>
      <c r="H30" s="31"/>
      <c r="I30" s="34"/>
      <c r="J30" s="34"/>
      <c r="K30" s="34"/>
      <c r="L30" s="30"/>
    </row>
    <row r="32" spans="2:12">
      <c r="H32" t="s">
        <v>1500</v>
      </c>
      <c r="I32" s="18" t="s">
        <v>1488</v>
      </c>
    </row>
  </sheetData>
  <phoneticPr fontId="2"/>
  <hyperlinks>
    <hyperlink ref="E21" location="API履歴!A1" display="API履歴" xr:uid="{7A440BA8-94B5-4EBC-B943-4B3373FA8AFB}"/>
    <hyperlink ref="E5" location="コンテンツ管理!A1" display="コンテンツ管理マスタ" xr:uid="{9A323B45-9AA1-48EF-A826-F130020F6FBC}"/>
    <hyperlink ref="E6" location="インデックス一覧!A1" display="コンテンツマスタ履歴" xr:uid="{46B487A3-E967-4182-9A46-27B22FC0B135}"/>
    <hyperlink ref="E7" location="商品グループ属性!A1" display="商品グループ属性マスタ" xr:uid="{32E7CF79-3AEA-4018-AE84-A2D0B2C7C2AF}"/>
    <hyperlink ref="E8" location="アンケートマスタ!A1" display="アンケートマスタ" xr:uid="{195BD269-CE4C-4ACF-9E78-BA5F9D4A3649}"/>
    <hyperlink ref="E9" location="アンケートマスタ!A1" display="アンケートマスタ" xr:uid="{34521DA1-8B0D-4A03-8961-30C6FF18F042}"/>
    <hyperlink ref="E19" location="汎用マスタ!A1" display="汎用マスタ" xr:uid="{D62C469E-7C48-4F91-9518-2E7EB3A95D3A}"/>
    <hyperlink ref="E12" location="オペレーションログ!A1" display="オペレーションログ" xr:uid="{32A0DFA5-1580-402A-8C78-E4C4DC9CBDA1}"/>
    <hyperlink ref="E13" location="管理オペレーションログ!A1" display="オペレーションログ(管理）" xr:uid="{BE32D0A3-DF0B-4FEC-9FEB-0BBA93F3C5B3}"/>
    <hyperlink ref="E15" location="'ベリトランス履歴 (元)'!A1" display="DGFTのアクセスログ" xr:uid="{74E89ADA-4A1D-4DD8-A94E-5E78AD389A16}"/>
    <hyperlink ref="E16" location="AmazonPay履歴!A1" display="AmazonPayアクセスログ" xr:uid="{02342860-DFDA-4907-A51E-C9FC1479BDA9}"/>
    <hyperlink ref="E17" location="リキャプチャ履歴!A1" display="リキャプチャ履歴" xr:uid="{A5ED6D69-EA79-42FE-A45B-001D397C8ED5}"/>
    <hyperlink ref="E18" location="ログインセッション!A1" display="ログインセッション" xr:uid="{9FD97E1B-A9A4-4805-8ADC-6865804DFBD8}"/>
    <hyperlink ref="E20" location="EC店舗マスタ!A1" display="EC店舗マスタ" xr:uid="{A2A7FA49-66FC-4D3D-B5FA-A9E26E616164}"/>
    <hyperlink ref="E14" location="DGFTプッシュ通知履歴!A1" display="DGFTプッシュ通知履歴" xr:uid="{38CC7B17-9526-4807-BFC8-8A93476A68D6}"/>
    <hyperlink ref="E10" location="オペレータ管理!A1" display="オペレータ管理" xr:uid="{5029099D-EE4E-4F33-AB25-A87A9ADDFFCA}"/>
    <hyperlink ref="E11" location="オペレータ管理履歴!A1" display="オペレータ管理履歴" xr:uid="{38A95DCD-F819-42F1-8397-F67417631E12}"/>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B236-5473-4663-87F5-CDF84602D9A4}">
  <sheetPr codeName="Sheet3">
    <tabColor theme="4"/>
  </sheetPr>
  <dimension ref="B2:V61"/>
  <sheetViews>
    <sheetView showGridLines="0" workbookViewId="0">
      <pane ySplit="4" topLeftCell="A5" activePane="bottomLeft" state="frozen"/>
      <selection activeCell="C38" sqref="C38:G47"/>
      <selection pane="bottomLeft" activeCell="A5" sqref="A5"/>
    </sheetView>
  </sheetViews>
  <sheetFormatPr defaultRowHeight="15" outlineLevelCol="1"/>
  <cols>
    <col min="1" max="1" width="1.1796875" customWidth="1"/>
    <col min="2" max="2" width="4.54296875" bestFit="1" customWidth="1"/>
    <col min="3" max="3" width="15.1796875" customWidth="1"/>
    <col min="4" max="4" width="29.36328125" customWidth="1"/>
    <col min="5" max="5" width="34.453125" customWidth="1"/>
    <col min="6" max="6" width="18.6328125" bestFit="1" customWidth="1"/>
    <col min="7" max="15" width="7.08984375" customWidth="1" outlineLevel="1"/>
    <col min="16" max="16" width="20.90625" customWidth="1"/>
    <col min="17" max="17" width="32.81640625" customWidth="1"/>
    <col min="18" max="18" width="8.1796875" customWidth="1"/>
    <col min="19" max="21" width="11.1796875" bestFit="1" customWidth="1"/>
    <col min="22" max="22" width="35.453125" customWidth="1"/>
  </cols>
  <sheetData>
    <row r="2" spans="2:22" ht="16.2">
      <c r="B2" s="35"/>
      <c r="C2" s="36" t="s">
        <v>140</v>
      </c>
      <c r="D2" s="37"/>
      <c r="E2" s="5"/>
      <c r="F2" s="5"/>
      <c r="G2" s="5"/>
      <c r="H2" s="5"/>
      <c r="I2" s="5"/>
      <c r="J2" s="5"/>
      <c r="K2" s="5"/>
      <c r="L2" s="5"/>
      <c r="M2" s="5"/>
      <c r="N2" s="5"/>
      <c r="O2" s="5"/>
      <c r="P2" s="5"/>
      <c r="Q2" s="5"/>
      <c r="R2" s="5"/>
      <c r="S2" s="5"/>
      <c r="T2" s="5"/>
      <c r="U2" s="5"/>
    </row>
    <row r="4" spans="2:22" ht="24">
      <c r="B4" s="25" t="s">
        <v>8</v>
      </c>
      <c r="C4" s="25" t="s">
        <v>37</v>
      </c>
      <c r="D4" s="25" t="s">
        <v>84</v>
      </c>
      <c r="E4" s="25" t="s">
        <v>141</v>
      </c>
      <c r="F4" s="25" t="s">
        <v>142</v>
      </c>
      <c r="G4" s="26" t="s">
        <v>143</v>
      </c>
      <c r="H4" s="26" t="s">
        <v>144</v>
      </c>
      <c r="I4" s="26" t="s">
        <v>145</v>
      </c>
      <c r="J4" s="26" t="s">
        <v>146</v>
      </c>
      <c r="K4" s="26" t="s">
        <v>147</v>
      </c>
      <c r="L4" s="26" t="s">
        <v>148</v>
      </c>
      <c r="M4" s="26" t="s">
        <v>149</v>
      </c>
      <c r="N4" s="26" t="s">
        <v>150</v>
      </c>
      <c r="O4" s="26" t="s">
        <v>151</v>
      </c>
      <c r="P4" s="25" t="s">
        <v>152</v>
      </c>
      <c r="Q4" s="25" t="s">
        <v>153</v>
      </c>
      <c r="R4" s="21" t="s">
        <v>154</v>
      </c>
      <c r="S4" s="21" t="s">
        <v>130</v>
      </c>
      <c r="T4" s="21" t="s">
        <v>131</v>
      </c>
      <c r="U4" s="21" t="s">
        <v>132</v>
      </c>
      <c r="V4" s="25" t="s">
        <v>155</v>
      </c>
    </row>
    <row r="5" spans="2:22">
      <c r="B5" s="38">
        <v>1</v>
      </c>
      <c r="C5" s="38" t="s">
        <v>94</v>
      </c>
      <c r="D5" s="38" t="s">
        <v>111</v>
      </c>
      <c r="E5" s="38" t="s">
        <v>396</v>
      </c>
      <c r="F5" s="38" t="s">
        <v>156</v>
      </c>
      <c r="G5" s="38" t="s">
        <v>162</v>
      </c>
      <c r="H5" s="38" t="s">
        <v>162</v>
      </c>
      <c r="I5" s="38" t="s">
        <v>158</v>
      </c>
      <c r="J5" s="38" t="s">
        <v>162</v>
      </c>
      <c r="K5" s="38" t="s">
        <v>158</v>
      </c>
      <c r="L5" s="38" t="s">
        <v>158</v>
      </c>
      <c r="M5" s="38" t="s">
        <v>163</v>
      </c>
      <c r="N5" s="38" t="s">
        <v>163</v>
      </c>
      <c r="O5" s="38">
        <v>80</v>
      </c>
      <c r="P5" s="39" t="s">
        <v>160</v>
      </c>
      <c r="Q5" s="31" t="s">
        <v>399</v>
      </c>
      <c r="R5" s="31" t="s">
        <v>161</v>
      </c>
      <c r="S5" s="31" t="s">
        <v>158</v>
      </c>
      <c r="T5" s="31" t="s">
        <v>158</v>
      </c>
      <c r="U5" s="31" t="s">
        <v>158</v>
      </c>
      <c r="V5" s="31"/>
    </row>
    <row r="6" spans="2:22">
      <c r="B6" s="40"/>
      <c r="C6" s="40"/>
      <c r="D6" s="40"/>
      <c r="E6" s="41"/>
      <c r="F6" s="41"/>
      <c r="G6" s="41"/>
      <c r="H6" s="41"/>
      <c r="I6" s="41"/>
      <c r="J6" s="41"/>
      <c r="K6" s="41"/>
      <c r="L6" s="41"/>
      <c r="M6" s="41"/>
      <c r="N6" s="41"/>
      <c r="O6" s="41"/>
      <c r="P6" s="42"/>
      <c r="Q6" s="31" t="s">
        <v>186</v>
      </c>
      <c r="R6" s="31" t="s">
        <v>161</v>
      </c>
      <c r="S6" s="31" t="s">
        <v>158</v>
      </c>
      <c r="T6" s="31" t="s">
        <v>158</v>
      </c>
      <c r="U6" s="31" t="s">
        <v>158</v>
      </c>
      <c r="V6" s="31"/>
    </row>
    <row r="7" spans="2:22">
      <c r="B7" s="41"/>
      <c r="C7" s="41"/>
      <c r="D7" s="41"/>
      <c r="E7" s="41" t="s">
        <v>397</v>
      </c>
      <c r="F7" s="41" t="s">
        <v>166</v>
      </c>
      <c r="G7" s="41" t="s">
        <v>163</v>
      </c>
      <c r="H7" s="41" t="s">
        <v>162</v>
      </c>
      <c r="I7" s="41" t="s">
        <v>162</v>
      </c>
      <c r="J7" s="41" t="s">
        <v>162</v>
      </c>
      <c r="K7" s="41" t="s">
        <v>162</v>
      </c>
      <c r="L7" s="41" t="s">
        <v>162</v>
      </c>
      <c r="M7" s="41" t="s">
        <v>163</v>
      </c>
      <c r="N7" s="41" t="s">
        <v>163</v>
      </c>
      <c r="O7" s="41">
        <v>80</v>
      </c>
      <c r="P7" s="41" t="s">
        <v>398</v>
      </c>
      <c r="Q7" s="31" t="s">
        <v>176</v>
      </c>
      <c r="R7" s="31" t="s">
        <v>161</v>
      </c>
      <c r="S7" s="31" t="s">
        <v>158</v>
      </c>
      <c r="T7" s="31" t="s">
        <v>158</v>
      </c>
      <c r="U7" s="31" t="s">
        <v>158</v>
      </c>
      <c r="V7" s="31"/>
    </row>
    <row r="8" spans="2:22">
      <c r="B8" s="38">
        <v>2</v>
      </c>
      <c r="C8" s="38" t="s">
        <v>106</v>
      </c>
      <c r="D8" s="38" t="s">
        <v>110</v>
      </c>
      <c r="E8" s="31" t="s">
        <v>400</v>
      </c>
      <c r="F8" s="31" t="s">
        <v>156</v>
      </c>
      <c r="G8" s="31" t="s">
        <v>162</v>
      </c>
      <c r="H8" s="31" t="s">
        <v>162</v>
      </c>
      <c r="I8" s="31" t="s">
        <v>158</v>
      </c>
      <c r="J8" s="31" t="s">
        <v>162</v>
      </c>
      <c r="K8" s="31" t="s">
        <v>158</v>
      </c>
      <c r="L8" s="31" t="s">
        <v>158</v>
      </c>
      <c r="M8" s="31" t="s">
        <v>163</v>
      </c>
      <c r="N8" s="31" t="s">
        <v>163</v>
      </c>
      <c r="O8" s="31" t="s">
        <v>158</v>
      </c>
      <c r="P8" s="31" t="s">
        <v>160</v>
      </c>
      <c r="Q8" s="31" t="s">
        <v>169</v>
      </c>
      <c r="R8" s="31" t="s">
        <v>161</v>
      </c>
      <c r="S8" s="31" t="s">
        <v>158</v>
      </c>
      <c r="T8" s="31" t="s">
        <v>158</v>
      </c>
      <c r="U8" s="31" t="s">
        <v>158</v>
      </c>
      <c r="V8" s="31"/>
    </row>
    <row r="9" spans="2:22">
      <c r="B9" s="40"/>
      <c r="C9" s="40"/>
      <c r="D9" s="40"/>
      <c r="E9" s="38" t="s">
        <v>401</v>
      </c>
      <c r="F9" s="38" t="s">
        <v>166</v>
      </c>
      <c r="G9" s="40" t="s">
        <v>163</v>
      </c>
      <c r="H9" s="40" t="s">
        <v>162</v>
      </c>
      <c r="I9" s="40" t="s">
        <v>162</v>
      </c>
      <c r="J9" s="40" t="s">
        <v>136</v>
      </c>
      <c r="K9" s="40" t="s">
        <v>162</v>
      </c>
      <c r="L9" s="40" t="s">
        <v>162</v>
      </c>
      <c r="M9" s="40" t="s">
        <v>163</v>
      </c>
      <c r="N9" s="40" t="s">
        <v>163</v>
      </c>
      <c r="O9" s="40">
        <v>80</v>
      </c>
      <c r="P9" s="40" t="s">
        <v>398</v>
      </c>
      <c r="Q9" s="31" t="s">
        <v>42</v>
      </c>
      <c r="R9" s="31" t="s">
        <v>161</v>
      </c>
      <c r="S9" s="31" t="s">
        <v>158</v>
      </c>
      <c r="T9" s="31" t="s">
        <v>158</v>
      </c>
      <c r="U9" s="31" t="s">
        <v>158</v>
      </c>
      <c r="V9" s="31"/>
    </row>
    <row r="10" spans="2:22">
      <c r="B10" s="40"/>
      <c r="C10" s="40"/>
      <c r="D10" s="40"/>
      <c r="E10" s="40"/>
      <c r="F10" s="40"/>
      <c r="G10" s="40"/>
      <c r="H10" s="40"/>
      <c r="I10" s="40"/>
      <c r="J10" s="40"/>
      <c r="K10" s="40"/>
      <c r="L10" s="40"/>
      <c r="M10" s="40"/>
      <c r="N10" s="40"/>
      <c r="O10" s="40"/>
      <c r="P10" s="40"/>
      <c r="Q10" s="31" t="s">
        <v>184</v>
      </c>
      <c r="R10" s="31" t="s">
        <v>161</v>
      </c>
      <c r="S10" s="31" t="s">
        <v>158</v>
      </c>
      <c r="T10" s="31" t="s">
        <v>158</v>
      </c>
      <c r="U10" s="31" t="s">
        <v>158</v>
      </c>
      <c r="V10" s="31"/>
    </row>
    <row r="11" spans="2:22">
      <c r="B11" s="41"/>
      <c r="C11" s="41"/>
      <c r="D11" s="41"/>
      <c r="E11" s="41"/>
      <c r="F11" s="41"/>
      <c r="G11" s="41"/>
      <c r="H11" s="41"/>
      <c r="I11" s="41"/>
      <c r="J11" s="41"/>
      <c r="K11" s="41"/>
      <c r="L11" s="41"/>
      <c r="M11" s="41"/>
      <c r="N11" s="41"/>
      <c r="O11" s="41"/>
      <c r="P11" s="41"/>
      <c r="Q11" s="31" t="s">
        <v>186</v>
      </c>
      <c r="R11" s="31" t="s">
        <v>161</v>
      </c>
      <c r="S11" s="31" t="s">
        <v>158</v>
      </c>
      <c r="T11" s="31" t="s">
        <v>158</v>
      </c>
      <c r="U11" s="31" t="s">
        <v>158</v>
      </c>
      <c r="V11" s="31"/>
    </row>
    <row r="12" spans="2:22">
      <c r="B12" s="38">
        <v>3</v>
      </c>
      <c r="C12" s="38" t="s">
        <v>106</v>
      </c>
      <c r="D12" s="38" t="s">
        <v>113</v>
      </c>
      <c r="E12" s="38" t="s">
        <v>477</v>
      </c>
      <c r="F12" s="38" t="s">
        <v>156</v>
      </c>
      <c r="G12" s="38" t="s">
        <v>162</v>
      </c>
      <c r="H12" s="38" t="s">
        <v>162</v>
      </c>
      <c r="I12" s="38" t="s">
        <v>158</v>
      </c>
      <c r="J12" s="38" t="s">
        <v>162</v>
      </c>
      <c r="K12" s="38" t="s">
        <v>158</v>
      </c>
      <c r="L12" s="38" t="s">
        <v>158</v>
      </c>
      <c r="M12" s="38" t="s">
        <v>163</v>
      </c>
      <c r="N12" s="38" t="s">
        <v>163</v>
      </c>
      <c r="O12" s="38" t="s">
        <v>158</v>
      </c>
      <c r="P12" s="38" t="s">
        <v>168</v>
      </c>
      <c r="Q12" s="31" t="s">
        <v>425</v>
      </c>
      <c r="R12" s="31" t="s">
        <v>161</v>
      </c>
      <c r="S12" s="31" t="s">
        <v>158</v>
      </c>
      <c r="T12" s="31" t="s">
        <v>158</v>
      </c>
      <c r="U12" s="31" t="s">
        <v>158</v>
      </c>
      <c r="V12" s="31"/>
    </row>
    <row r="13" spans="2:22">
      <c r="B13" s="40"/>
      <c r="C13" s="40"/>
      <c r="D13" s="40"/>
      <c r="E13" s="40"/>
      <c r="F13" s="40"/>
      <c r="G13" s="40"/>
      <c r="H13" s="40"/>
      <c r="I13" s="40"/>
      <c r="J13" s="40"/>
      <c r="K13" s="40"/>
      <c r="L13" s="40"/>
      <c r="M13" s="40"/>
      <c r="N13" s="40"/>
      <c r="O13" s="40"/>
      <c r="P13" s="40"/>
      <c r="Q13" s="31" t="s">
        <v>427</v>
      </c>
      <c r="R13" s="31" t="s">
        <v>161</v>
      </c>
      <c r="S13" s="31" t="s">
        <v>158</v>
      </c>
      <c r="T13" s="31" t="s">
        <v>158</v>
      </c>
      <c r="U13" s="31" t="s">
        <v>158</v>
      </c>
      <c r="V13" s="31"/>
    </row>
    <row r="14" spans="2:22">
      <c r="B14" s="40"/>
      <c r="C14" s="40"/>
      <c r="D14" s="40"/>
      <c r="E14" s="40"/>
      <c r="F14" s="40"/>
      <c r="G14" s="40"/>
      <c r="H14" s="40"/>
      <c r="I14" s="40"/>
      <c r="J14" s="40"/>
      <c r="K14" s="40"/>
      <c r="L14" s="40"/>
      <c r="M14" s="40"/>
      <c r="N14" s="40"/>
      <c r="O14" s="40"/>
      <c r="P14" s="40"/>
      <c r="Q14" s="31" t="s">
        <v>433</v>
      </c>
      <c r="R14" s="31" t="s">
        <v>161</v>
      </c>
      <c r="S14" s="31" t="s">
        <v>158</v>
      </c>
      <c r="T14" s="31" t="s">
        <v>158</v>
      </c>
      <c r="U14" s="31" t="s">
        <v>158</v>
      </c>
      <c r="V14" s="31"/>
    </row>
    <row r="15" spans="2:22">
      <c r="B15" s="41"/>
      <c r="C15" s="41"/>
      <c r="D15" s="41"/>
      <c r="E15" s="31" t="s">
        <v>478</v>
      </c>
      <c r="F15" s="31" t="s">
        <v>166</v>
      </c>
      <c r="G15" s="31" t="s">
        <v>162</v>
      </c>
      <c r="H15" s="31" t="s">
        <v>162</v>
      </c>
      <c r="I15" s="31" t="s">
        <v>162</v>
      </c>
      <c r="J15" s="31" t="s">
        <v>162</v>
      </c>
      <c r="K15" s="31" t="s">
        <v>162</v>
      </c>
      <c r="L15" s="31" t="s">
        <v>162</v>
      </c>
      <c r="M15" s="31" t="s">
        <v>163</v>
      </c>
      <c r="N15" s="31" t="s">
        <v>163</v>
      </c>
      <c r="O15" s="31" t="s">
        <v>158</v>
      </c>
      <c r="P15" s="31" t="s">
        <v>168</v>
      </c>
      <c r="Q15" s="31" t="s">
        <v>422</v>
      </c>
      <c r="R15" s="31" t="s">
        <v>161</v>
      </c>
      <c r="S15" s="31" t="s">
        <v>158</v>
      </c>
      <c r="T15" s="31" t="s">
        <v>158</v>
      </c>
      <c r="U15" s="31" t="s">
        <v>158</v>
      </c>
      <c r="V15" s="31"/>
    </row>
    <row r="16" spans="2:22">
      <c r="B16" s="31">
        <v>4</v>
      </c>
      <c r="C16" s="30" t="s">
        <v>94</v>
      </c>
      <c r="D16" s="30" t="s">
        <v>115</v>
      </c>
      <c r="E16" s="31" t="s">
        <v>506</v>
      </c>
      <c r="F16" s="38" t="s">
        <v>156</v>
      </c>
      <c r="G16" s="38" t="s">
        <v>162</v>
      </c>
      <c r="H16" s="38" t="s">
        <v>162</v>
      </c>
      <c r="I16" s="38" t="s">
        <v>158</v>
      </c>
      <c r="J16" s="38" t="s">
        <v>162</v>
      </c>
      <c r="K16" s="38" t="s">
        <v>158</v>
      </c>
      <c r="L16" s="38" t="s">
        <v>158</v>
      </c>
      <c r="M16" s="38" t="s">
        <v>163</v>
      </c>
      <c r="N16" s="38" t="s">
        <v>163</v>
      </c>
      <c r="O16" s="38" t="s">
        <v>158</v>
      </c>
      <c r="P16" s="31" t="s">
        <v>168</v>
      </c>
      <c r="Q16" s="31" t="s">
        <v>481</v>
      </c>
      <c r="R16" s="31" t="s">
        <v>161</v>
      </c>
      <c r="S16" s="31" t="s">
        <v>158</v>
      </c>
      <c r="T16" s="31" t="s">
        <v>158</v>
      </c>
      <c r="U16" s="31" t="s">
        <v>158</v>
      </c>
      <c r="V16" s="31"/>
    </row>
    <row r="17" spans="2:22">
      <c r="B17" s="31">
        <v>5</v>
      </c>
      <c r="C17" s="30" t="s">
        <v>94</v>
      </c>
      <c r="D17" s="30" t="s">
        <v>116</v>
      </c>
      <c r="E17" s="31" t="s">
        <v>508</v>
      </c>
      <c r="F17" s="38" t="s">
        <v>156</v>
      </c>
      <c r="G17" s="38" t="s">
        <v>162</v>
      </c>
      <c r="H17" s="38" t="s">
        <v>162</v>
      </c>
      <c r="I17" s="38" t="s">
        <v>158</v>
      </c>
      <c r="J17" s="38" t="s">
        <v>162</v>
      </c>
      <c r="K17" s="38" t="s">
        <v>158</v>
      </c>
      <c r="L17" s="38" t="s">
        <v>158</v>
      </c>
      <c r="M17" s="38" t="s">
        <v>163</v>
      </c>
      <c r="N17" s="38" t="s">
        <v>163</v>
      </c>
      <c r="O17" s="38" t="s">
        <v>158</v>
      </c>
      <c r="P17" s="31" t="s">
        <v>168</v>
      </c>
      <c r="Q17" s="31" t="s">
        <v>509</v>
      </c>
      <c r="R17" s="31" t="s">
        <v>161</v>
      </c>
      <c r="S17" s="31" t="s">
        <v>158</v>
      </c>
      <c r="T17" s="31" t="s">
        <v>158</v>
      </c>
      <c r="U17" s="31" t="s">
        <v>158</v>
      </c>
      <c r="V17" s="31"/>
    </row>
    <row r="18" spans="2:22">
      <c r="B18" s="31">
        <v>6</v>
      </c>
      <c r="C18" s="30" t="s">
        <v>94</v>
      </c>
      <c r="D18" s="31" t="s">
        <v>123</v>
      </c>
      <c r="E18" s="31" t="s">
        <v>511</v>
      </c>
      <c r="F18" s="38" t="s">
        <v>156</v>
      </c>
      <c r="G18" s="38" t="s">
        <v>162</v>
      </c>
      <c r="H18" s="38" t="s">
        <v>162</v>
      </c>
      <c r="I18" s="38" t="s">
        <v>158</v>
      </c>
      <c r="J18" s="38" t="s">
        <v>162</v>
      </c>
      <c r="K18" s="38" t="s">
        <v>158</v>
      </c>
      <c r="L18" s="38" t="s">
        <v>158</v>
      </c>
      <c r="M18" s="38" t="s">
        <v>163</v>
      </c>
      <c r="N18" s="38" t="s">
        <v>163</v>
      </c>
      <c r="O18" s="38" t="s">
        <v>158</v>
      </c>
      <c r="P18" s="31" t="s">
        <v>160</v>
      </c>
      <c r="Q18" s="31" t="s">
        <v>422</v>
      </c>
      <c r="R18" s="31" t="s">
        <v>161</v>
      </c>
      <c r="S18" s="31" t="s">
        <v>158</v>
      </c>
      <c r="T18" s="31" t="s">
        <v>158</v>
      </c>
      <c r="U18" s="31" t="s">
        <v>158</v>
      </c>
      <c r="V18" s="31"/>
    </row>
    <row r="19" spans="2:22">
      <c r="B19" s="38">
        <v>7</v>
      </c>
      <c r="C19" s="43" t="s">
        <v>93</v>
      </c>
      <c r="D19" s="43" t="s">
        <v>617</v>
      </c>
      <c r="E19" s="31" t="s">
        <v>619</v>
      </c>
      <c r="F19" s="38" t="s">
        <v>156</v>
      </c>
      <c r="G19" s="31" t="s">
        <v>162</v>
      </c>
      <c r="H19" s="31" t="s">
        <v>162</v>
      </c>
      <c r="I19" s="31" t="s">
        <v>158</v>
      </c>
      <c r="J19" s="31" t="s">
        <v>162</v>
      </c>
      <c r="K19" s="31" t="s">
        <v>158</v>
      </c>
      <c r="L19" s="31" t="s">
        <v>158</v>
      </c>
      <c r="M19" s="31" t="s">
        <v>163</v>
      </c>
      <c r="N19" s="31" t="s">
        <v>163</v>
      </c>
      <c r="O19" s="31" t="s">
        <v>158</v>
      </c>
      <c r="P19" s="31" t="s">
        <v>160</v>
      </c>
      <c r="Q19" s="31" t="s">
        <v>165</v>
      </c>
      <c r="R19" s="31" t="s">
        <v>161</v>
      </c>
      <c r="S19" s="31" t="s">
        <v>158</v>
      </c>
      <c r="T19" s="31" t="s">
        <v>158</v>
      </c>
      <c r="U19" s="31" t="s">
        <v>158</v>
      </c>
      <c r="V19" s="31"/>
    </row>
    <row r="20" spans="2:22">
      <c r="B20" s="40"/>
      <c r="C20" s="40"/>
      <c r="D20" s="40"/>
      <c r="E20" s="31" t="s">
        <v>620</v>
      </c>
      <c r="F20" s="31" t="s">
        <v>166</v>
      </c>
      <c r="G20" s="31" t="s">
        <v>162</v>
      </c>
      <c r="H20" s="31" t="s">
        <v>162</v>
      </c>
      <c r="I20" s="31" t="s">
        <v>162</v>
      </c>
      <c r="J20" s="31" t="s">
        <v>158</v>
      </c>
      <c r="K20" s="31" t="s">
        <v>162</v>
      </c>
      <c r="L20" s="31" t="s">
        <v>162</v>
      </c>
      <c r="M20" s="31" t="s">
        <v>163</v>
      </c>
      <c r="N20" s="31" t="s">
        <v>163</v>
      </c>
      <c r="O20" s="31" t="s">
        <v>158</v>
      </c>
      <c r="P20" s="31" t="s">
        <v>626</v>
      </c>
      <c r="Q20" s="31" t="s">
        <v>623</v>
      </c>
      <c r="R20" s="31" t="s">
        <v>161</v>
      </c>
      <c r="S20" s="31" t="s">
        <v>158</v>
      </c>
      <c r="T20" s="31" t="s">
        <v>158</v>
      </c>
      <c r="U20" s="31" t="s">
        <v>158</v>
      </c>
      <c r="V20" s="31"/>
    </row>
    <row r="21" spans="2:22">
      <c r="B21" s="40"/>
      <c r="C21" s="40"/>
      <c r="D21" s="40"/>
      <c r="E21" s="31" t="s">
        <v>621</v>
      </c>
      <c r="F21" s="31" t="s">
        <v>166</v>
      </c>
      <c r="G21" s="31" t="s">
        <v>162</v>
      </c>
      <c r="H21" s="31" t="s">
        <v>162</v>
      </c>
      <c r="I21" s="31" t="s">
        <v>162</v>
      </c>
      <c r="J21" s="31" t="s">
        <v>158</v>
      </c>
      <c r="K21" s="31" t="s">
        <v>162</v>
      </c>
      <c r="L21" s="31" t="s">
        <v>162</v>
      </c>
      <c r="M21" s="31" t="s">
        <v>163</v>
      </c>
      <c r="N21" s="31" t="s">
        <v>163</v>
      </c>
      <c r="O21" s="31" t="s">
        <v>158</v>
      </c>
      <c r="P21" s="31" t="s">
        <v>626</v>
      </c>
      <c r="Q21" s="31" t="s">
        <v>624</v>
      </c>
      <c r="R21" s="31" t="s">
        <v>161</v>
      </c>
      <c r="S21" s="31" t="s">
        <v>158</v>
      </c>
      <c r="T21" s="31" t="s">
        <v>158</v>
      </c>
      <c r="U21" s="31" t="s">
        <v>158</v>
      </c>
      <c r="V21" s="31"/>
    </row>
    <row r="22" spans="2:22">
      <c r="B22" s="40"/>
      <c r="C22" s="40"/>
      <c r="D22" s="40"/>
      <c r="E22" s="38" t="s">
        <v>622</v>
      </c>
      <c r="F22" s="38" t="s">
        <v>166</v>
      </c>
      <c r="G22" s="38" t="s">
        <v>163</v>
      </c>
      <c r="H22" s="38" t="s">
        <v>162</v>
      </c>
      <c r="I22" s="38" t="s">
        <v>162</v>
      </c>
      <c r="J22" s="38" t="s">
        <v>158</v>
      </c>
      <c r="K22" s="38" t="s">
        <v>162</v>
      </c>
      <c r="L22" s="38" t="s">
        <v>162</v>
      </c>
      <c r="M22" s="38" t="s">
        <v>163</v>
      </c>
      <c r="N22" s="38" t="s">
        <v>163</v>
      </c>
      <c r="O22" s="38">
        <v>80</v>
      </c>
      <c r="P22" s="38" t="s">
        <v>626</v>
      </c>
      <c r="Q22" s="31" t="s">
        <v>625</v>
      </c>
      <c r="R22" s="31" t="s">
        <v>161</v>
      </c>
      <c r="S22" s="31" t="s">
        <v>158</v>
      </c>
      <c r="T22" s="31" t="s">
        <v>158</v>
      </c>
      <c r="U22" s="31" t="s">
        <v>158</v>
      </c>
      <c r="V22" s="31"/>
    </row>
    <row r="23" spans="2:22">
      <c r="B23" s="41"/>
      <c r="C23" s="41"/>
      <c r="D23" s="41"/>
      <c r="E23" s="41"/>
      <c r="F23" s="41"/>
      <c r="G23" s="41"/>
      <c r="H23" s="41"/>
      <c r="I23" s="41"/>
      <c r="J23" s="41"/>
      <c r="K23" s="41"/>
      <c r="L23" s="41"/>
      <c r="M23" s="41"/>
      <c r="N23" s="41"/>
      <c r="O23" s="41"/>
      <c r="P23" s="41"/>
      <c r="Q23" s="31" t="s">
        <v>623</v>
      </c>
      <c r="R23" s="31" t="s">
        <v>161</v>
      </c>
      <c r="S23" s="31" t="s">
        <v>158</v>
      </c>
      <c r="T23" s="31" t="s">
        <v>158</v>
      </c>
      <c r="U23" s="31" t="s">
        <v>158</v>
      </c>
      <c r="V23" s="31"/>
    </row>
    <row r="24" spans="2:22">
      <c r="B24" s="38">
        <v>8</v>
      </c>
      <c r="C24" s="43" t="s">
        <v>92</v>
      </c>
      <c r="D24" s="43" t="s">
        <v>618</v>
      </c>
      <c r="E24" s="31" t="s">
        <v>627</v>
      </c>
      <c r="F24" s="38" t="s">
        <v>156</v>
      </c>
      <c r="G24" s="31" t="s">
        <v>162</v>
      </c>
      <c r="H24" s="31" t="s">
        <v>162</v>
      </c>
      <c r="I24" s="31" t="s">
        <v>158</v>
      </c>
      <c r="J24" s="31" t="s">
        <v>162</v>
      </c>
      <c r="K24" s="31" t="s">
        <v>158</v>
      </c>
      <c r="L24" s="31" t="s">
        <v>158</v>
      </c>
      <c r="M24" s="31" t="s">
        <v>163</v>
      </c>
      <c r="N24" s="31" t="s">
        <v>163</v>
      </c>
      <c r="O24" s="31" t="s">
        <v>158</v>
      </c>
      <c r="P24" s="31" t="s">
        <v>160</v>
      </c>
      <c r="Q24" s="31" t="s">
        <v>165</v>
      </c>
      <c r="R24" s="31" t="s">
        <v>161</v>
      </c>
      <c r="S24" s="31" t="s">
        <v>158</v>
      </c>
      <c r="T24" s="31" t="s">
        <v>158</v>
      </c>
      <c r="U24" s="31" t="s">
        <v>158</v>
      </c>
      <c r="V24" s="31"/>
    </row>
    <row r="25" spans="2:22">
      <c r="B25" s="40"/>
      <c r="C25" s="40"/>
      <c r="D25" s="40"/>
      <c r="E25" s="38" t="s">
        <v>628</v>
      </c>
      <c r="F25" s="38" t="s">
        <v>166</v>
      </c>
      <c r="G25" s="38" t="s">
        <v>159</v>
      </c>
      <c r="H25" s="38" t="s">
        <v>157</v>
      </c>
      <c r="I25" s="38" t="s">
        <v>157</v>
      </c>
      <c r="J25" s="38" t="s">
        <v>158</v>
      </c>
      <c r="K25" s="38" t="s">
        <v>162</v>
      </c>
      <c r="L25" s="38" t="s">
        <v>162</v>
      </c>
      <c r="M25" s="38" t="s">
        <v>163</v>
      </c>
      <c r="N25" s="38" t="s">
        <v>163</v>
      </c>
      <c r="O25" s="38">
        <v>80</v>
      </c>
      <c r="P25" s="38" t="s">
        <v>167</v>
      </c>
      <c r="Q25" s="31" t="s">
        <v>623</v>
      </c>
      <c r="R25" s="31" t="s">
        <v>161</v>
      </c>
      <c r="S25" s="31" t="s">
        <v>158</v>
      </c>
      <c r="T25" s="31" t="s">
        <v>158</v>
      </c>
      <c r="U25" s="31" t="s">
        <v>158</v>
      </c>
      <c r="V25" s="31"/>
    </row>
    <row r="26" spans="2:22">
      <c r="B26" s="40"/>
      <c r="C26" s="40"/>
      <c r="D26" s="40"/>
      <c r="E26" s="40"/>
      <c r="F26" s="40"/>
      <c r="G26" s="40"/>
      <c r="H26" s="40"/>
      <c r="I26" s="40"/>
      <c r="J26" s="40"/>
      <c r="K26" s="40"/>
      <c r="L26" s="40"/>
      <c r="M26" s="40"/>
      <c r="N26" s="40"/>
      <c r="O26" s="40"/>
      <c r="P26" s="40"/>
      <c r="Q26" s="31" t="s">
        <v>629</v>
      </c>
      <c r="R26" s="31" t="s">
        <v>161</v>
      </c>
      <c r="S26" s="31" t="s">
        <v>158</v>
      </c>
      <c r="T26" s="31" t="s">
        <v>158</v>
      </c>
      <c r="U26" s="31" t="s">
        <v>158</v>
      </c>
      <c r="V26" s="31"/>
    </row>
    <row r="27" spans="2:22">
      <c r="B27" s="40"/>
      <c r="C27" s="40"/>
      <c r="D27" s="40"/>
      <c r="E27" s="40"/>
      <c r="F27" s="40"/>
      <c r="G27" s="40"/>
      <c r="H27" s="40"/>
      <c r="I27" s="40"/>
      <c r="J27" s="40"/>
      <c r="K27" s="40"/>
      <c r="L27" s="40"/>
      <c r="M27" s="40"/>
      <c r="N27" s="40"/>
      <c r="O27" s="40"/>
      <c r="P27" s="40"/>
      <c r="Q27" s="31" t="s">
        <v>66</v>
      </c>
      <c r="R27" s="31" t="s">
        <v>161</v>
      </c>
      <c r="S27" s="31" t="s">
        <v>158</v>
      </c>
      <c r="T27" s="31" t="s">
        <v>158</v>
      </c>
      <c r="U27" s="31" t="s">
        <v>158</v>
      </c>
      <c r="V27" s="31"/>
    </row>
    <row r="28" spans="2:22">
      <c r="B28" s="40"/>
      <c r="C28" s="40"/>
      <c r="D28" s="40"/>
      <c r="E28" s="40"/>
      <c r="F28" s="40"/>
      <c r="G28" s="40"/>
      <c r="H28" s="40"/>
      <c r="I28" s="40"/>
      <c r="J28" s="40"/>
      <c r="K28" s="40"/>
      <c r="L28" s="40"/>
      <c r="M28" s="40"/>
      <c r="N28" s="40"/>
      <c r="O28" s="40"/>
      <c r="P28" s="40"/>
      <c r="Q28" s="31" t="s">
        <v>630</v>
      </c>
      <c r="R28" s="31" t="s">
        <v>161</v>
      </c>
      <c r="S28" s="31" t="s">
        <v>158</v>
      </c>
      <c r="T28" s="31" t="s">
        <v>158</v>
      </c>
      <c r="U28" s="31" t="s">
        <v>158</v>
      </c>
      <c r="V28" s="31"/>
    </row>
    <row r="29" spans="2:22">
      <c r="B29" s="40"/>
      <c r="C29" s="40"/>
      <c r="D29" s="40"/>
      <c r="E29" s="40"/>
      <c r="F29" s="40"/>
      <c r="G29" s="40"/>
      <c r="H29" s="40"/>
      <c r="I29" s="40"/>
      <c r="J29" s="40"/>
      <c r="K29" s="40"/>
      <c r="L29" s="40"/>
      <c r="M29" s="40"/>
      <c r="N29" s="40"/>
      <c r="O29" s="40"/>
      <c r="P29" s="40"/>
      <c r="Q29" s="31" t="s">
        <v>631</v>
      </c>
      <c r="R29" s="31" t="s">
        <v>161</v>
      </c>
      <c r="S29" s="31" t="s">
        <v>158</v>
      </c>
      <c r="T29" s="31" t="s">
        <v>158</v>
      </c>
      <c r="U29" s="31" t="s">
        <v>158</v>
      </c>
      <c r="V29" s="31"/>
    </row>
    <row r="30" spans="2:22">
      <c r="B30" s="40"/>
      <c r="C30" s="40"/>
      <c r="D30" s="40"/>
      <c r="E30" s="40"/>
      <c r="F30" s="40"/>
      <c r="G30" s="40"/>
      <c r="H30" s="40"/>
      <c r="I30" s="40"/>
      <c r="J30" s="40"/>
      <c r="K30" s="40"/>
      <c r="L30" s="40"/>
      <c r="M30" s="40"/>
      <c r="N30" s="40"/>
      <c r="O30" s="40"/>
      <c r="P30" s="40"/>
      <c r="Q30" s="31" t="s">
        <v>632</v>
      </c>
      <c r="R30" s="31" t="s">
        <v>161</v>
      </c>
      <c r="S30" s="31" t="s">
        <v>158</v>
      </c>
      <c r="T30" s="31" t="s">
        <v>158</v>
      </c>
      <c r="U30" s="31" t="s">
        <v>158</v>
      </c>
      <c r="V30" s="31"/>
    </row>
    <row r="31" spans="2:22">
      <c r="B31" s="41"/>
      <c r="C31" s="41"/>
      <c r="D31" s="41"/>
      <c r="E31" s="41"/>
      <c r="F31" s="41"/>
      <c r="G31" s="41"/>
      <c r="H31" s="41"/>
      <c r="I31" s="41"/>
      <c r="J31" s="41"/>
      <c r="K31" s="41"/>
      <c r="L31" s="41"/>
      <c r="M31" s="41"/>
      <c r="N31" s="41"/>
      <c r="O31" s="41"/>
      <c r="P31" s="41"/>
      <c r="Q31" s="31" t="s">
        <v>633</v>
      </c>
      <c r="R31" s="31" t="s">
        <v>161</v>
      </c>
      <c r="S31" s="31" t="s">
        <v>158</v>
      </c>
      <c r="T31" s="31" t="s">
        <v>158</v>
      </c>
      <c r="U31" s="31" t="s">
        <v>158</v>
      </c>
      <c r="V31" s="31"/>
    </row>
    <row r="32" spans="2:22">
      <c r="B32" s="31">
        <v>9</v>
      </c>
      <c r="C32" s="38" t="s">
        <v>92</v>
      </c>
      <c r="D32" s="38" t="s">
        <v>97</v>
      </c>
      <c r="E32" s="31" t="s">
        <v>634</v>
      </c>
      <c r="F32" s="38" t="s">
        <v>156</v>
      </c>
      <c r="G32" s="31" t="s">
        <v>162</v>
      </c>
      <c r="H32" s="31" t="s">
        <v>162</v>
      </c>
      <c r="I32" s="31" t="s">
        <v>158</v>
      </c>
      <c r="J32" s="31" t="s">
        <v>162</v>
      </c>
      <c r="K32" s="31" t="s">
        <v>158</v>
      </c>
      <c r="L32" s="31" t="s">
        <v>158</v>
      </c>
      <c r="M32" s="31" t="s">
        <v>163</v>
      </c>
      <c r="N32" s="31" t="s">
        <v>163</v>
      </c>
      <c r="O32" s="31" t="s">
        <v>158</v>
      </c>
      <c r="P32" s="31" t="s">
        <v>167</v>
      </c>
      <c r="Q32" s="31" t="s">
        <v>165</v>
      </c>
      <c r="R32" s="31" t="s">
        <v>161</v>
      </c>
      <c r="S32" s="31" t="s">
        <v>158</v>
      </c>
      <c r="T32" s="31" t="s">
        <v>158</v>
      </c>
      <c r="U32" s="31" t="s">
        <v>158</v>
      </c>
      <c r="V32" s="31"/>
    </row>
    <row r="33" spans="2:22">
      <c r="B33" s="31">
        <v>18</v>
      </c>
      <c r="C33" s="40"/>
      <c r="D33" s="40"/>
      <c r="E33" s="38" t="s">
        <v>636</v>
      </c>
      <c r="F33" s="38" t="s">
        <v>166</v>
      </c>
      <c r="G33" s="38" t="s">
        <v>162</v>
      </c>
      <c r="H33" s="38" t="s">
        <v>162</v>
      </c>
      <c r="I33" s="38" t="s">
        <v>162</v>
      </c>
      <c r="J33" s="38" t="s">
        <v>158</v>
      </c>
      <c r="K33" s="38" t="s">
        <v>162</v>
      </c>
      <c r="L33" s="38" t="s">
        <v>162</v>
      </c>
      <c r="M33" s="38" t="s">
        <v>163</v>
      </c>
      <c r="N33" s="38" t="s">
        <v>163</v>
      </c>
      <c r="O33" s="38" t="s">
        <v>158</v>
      </c>
      <c r="P33" s="38"/>
      <c r="Q33" s="31" t="s">
        <v>16</v>
      </c>
      <c r="R33" s="31" t="s">
        <v>161</v>
      </c>
      <c r="S33" s="31" t="s">
        <v>158</v>
      </c>
      <c r="T33" s="31" t="s">
        <v>158</v>
      </c>
      <c r="U33" s="31" t="s">
        <v>158</v>
      </c>
      <c r="V33" s="31"/>
    </row>
    <row r="34" spans="2:22">
      <c r="B34" s="31">
        <v>18</v>
      </c>
      <c r="C34" s="40"/>
      <c r="D34" s="40"/>
      <c r="E34" s="40"/>
      <c r="F34" s="40"/>
      <c r="G34" s="40"/>
      <c r="H34" s="40"/>
      <c r="I34" s="40"/>
      <c r="J34" s="40"/>
      <c r="K34" s="40"/>
      <c r="L34" s="40"/>
      <c r="M34" s="40"/>
      <c r="N34" s="40"/>
      <c r="O34" s="40"/>
      <c r="P34" s="40"/>
      <c r="Q34" s="31" t="s">
        <v>638</v>
      </c>
      <c r="R34" s="31" t="s">
        <v>161</v>
      </c>
      <c r="S34" s="31" t="s">
        <v>158</v>
      </c>
      <c r="T34" s="31" t="s">
        <v>158</v>
      </c>
      <c r="U34" s="31" t="s">
        <v>158</v>
      </c>
      <c r="V34" s="31"/>
    </row>
    <row r="35" spans="2:22">
      <c r="B35" s="31">
        <v>18</v>
      </c>
      <c r="C35" s="40"/>
      <c r="D35" s="40"/>
      <c r="E35" s="40"/>
      <c r="F35" s="40"/>
      <c r="G35" s="40"/>
      <c r="H35" s="40"/>
      <c r="I35" s="40"/>
      <c r="J35" s="40"/>
      <c r="K35" s="40"/>
      <c r="L35" s="40"/>
      <c r="M35" s="40"/>
      <c r="N35" s="40"/>
      <c r="O35" s="40"/>
      <c r="P35" s="40"/>
      <c r="Q35" s="31" t="s">
        <v>639</v>
      </c>
      <c r="R35" s="31" t="s">
        <v>161</v>
      </c>
      <c r="S35" s="31" t="s">
        <v>158</v>
      </c>
      <c r="T35" s="31" t="s">
        <v>158</v>
      </c>
      <c r="U35" s="31" t="s">
        <v>158</v>
      </c>
      <c r="V35" s="31"/>
    </row>
    <row r="36" spans="2:22">
      <c r="B36" s="31">
        <v>18</v>
      </c>
      <c r="C36" s="40"/>
      <c r="D36" s="40"/>
      <c r="E36" s="40"/>
      <c r="F36" s="40"/>
      <c r="G36" s="40"/>
      <c r="H36" s="40"/>
      <c r="I36" s="40"/>
      <c r="J36" s="40"/>
      <c r="K36" s="40"/>
      <c r="L36" s="40"/>
      <c r="M36" s="40"/>
      <c r="N36" s="40"/>
      <c r="O36" s="40"/>
      <c r="P36" s="40"/>
      <c r="Q36" s="31" t="s">
        <v>640</v>
      </c>
      <c r="R36" s="31" t="s">
        <v>161</v>
      </c>
      <c r="S36" s="31" t="s">
        <v>158</v>
      </c>
      <c r="T36" s="31" t="s">
        <v>158</v>
      </c>
      <c r="U36" s="31" t="s">
        <v>158</v>
      </c>
      <c r="V36" s="31"/>
    </row>
    <row r="37" spans="2:22">
      <c r="B37" s="31">
        <v>18</v>
      </c>
      <c r="C37" s="40"/>
      <c r="D37" s="40"/>
      <c r="E37" s="41"/>
      <c r="F37" s="41"/>
      <c r="G37" s="41"/>
      <c r="H37" s="41"/>
      <c r="I37" s="41"/>
      <c r="J37" s="41"/>
      <c r="K37" s="41"/>
      <c r="L37" s="41"/>
      <c r="M37" s="41"/>
      <c r="N37" s="41"/>
      <c r="O37" s="41"/>
      <c r="P37" s="41"/>
      <c r="Q37" s="31" t="s">
        <v>641</v>
      </c>
      <c r="R37" s="31" t="s">
        <v>161</v>
      </c>
      <c r="S37" s="31" t="s">
        <v>158</v>
      </c>
      <c r="T37" s="31" t="s">
        <v>158</v>
      </c>
      <c r="U37" s="31" t="s">
        <v>158</v>
      </c>
      <c r="V37" s="31"/>
    </row>
    <row r="38" spans="2:22">
      <c r="B38" s="31">
        <v>18</v>
      </c>
      <c r="C38" s="40"/>
      <c r="D38" s="40"/>
      <c r="E38" s="38" t="s">
        <v>637</v>
      </c>
      <c r="F38" s="38" t="s">
        <v>166</v>
      </c>
      <c r="G38" s="38" t="s">
        <v>163</v>
      </c>
      <c r="H38" s="38" t="s">
        <v>162</v>
      </c>
      <c r="I38" s="38" t="s">
        <v>162</v>
      </c>
      <c r="J38" s="38" t="s">
        <v>158</v>
      </c>
      <c r="K38" s="38" t="s">
        <v>162</v>
      </c>
      <c r="L38" s="38" t="s">
        <v>162</v>
      </c>
      <c r="M38" s="38" t="s">
        <v>163</v>
      </c>
      <c r="N38" s="38" t="s">
        <v>163</v>
      </c>
      <c r="O38" s="38" t="s">
        <v>158</v>
      </c>
      <c r="P38" s="38" t="s">
        <v>167</v>
      </c>
      <c r="Q38" s="31" t="s">
        <v>638</v>
      </c>
      <c r="R38" s="31" t="s">
        <v>161</v>
      </c>
      <c r="S38" s="31" t="s">
        <v>158</v>
      </c>
      <c r="T38" s="31" t="s">
        <v>158</v>
      </c>
      <c r="U38" s="31" t="s">
        <v>158</v>
      </c>
      <c r="V38" s="31"/>
    </row>
    <row r="39" spans="2:22">
      <c r="B39" s="31">
        <v>18</v>
      </c>
      <c r="C39" s="41"/>
      <c r="D39" s="41"/>
      <c r="E39" s="41"/>
      <c r="F39" s="41"/>
      <c r="G39" s="41"/>
      <c r="H39" s="41"/>
      <c r="I39" s="41"/>
      <c r="J39" s="41"/>
      <c r="K39" s="41"/>
      <c r="L39" s="41"/>
      <c r="M39" s="41"/>
      <c r="N39" s="41"/>
      <c r="O39" s="41"/>
      <c r="P39" s="41"/>
      <c r="Q39" s="31" t="s">
        <v>16</v>
      </c>
      <c r="R39" s="31" t="s">
        <v>161</v>
      </c>
      <c r="S39" s="31" t="s">
        <v>158</v>
      </c>
      <c r="T39" s="31" t="s">
        <v>158</v>
      </c>
      <c r="U39" s="31" t="s">
        <v>158</v>
      </c>
      <c r="V39" s="31"/>
    </row>
    <row r="40" spans="2:22">
      <c r="B40" s="31">
        <v>18</v>
      </c>
      <c r="C40" s="38" t="s">
        <v>93</v>
      </c>
      <c r="D40" s="38" t="s">
        <v>937</v>
      </c>
      <c r="E40" s="31" t="s">
        <v>938</v>
      </c>
      <c r="F40" s="38" t="s">
        <v>156</v>
      </c>
      <c r="G40" s="31" t="s">
        <v>162</v>
      </c>
      <c r="H40" s="31" t="s">
        <v>162</v>
      </c>
      <c r="I40" s="31" t="s">
        <v>158</v>
      </c>
      <c r="J40" s="31" t="s">
        <v>162</v>
      </c>
      <c r="K40" s="31" t="s">
        <v>158</v>
      </c>
      <c r="L40" s="31" t="s">
        <v>158</v>
      </c>
      <c r="M40" s="31" t="s">
        <v>163</v>
      </c>
      <c r="N40" s="31" t="s">
        <v>163</v>
      </c>
      <c r="O40" s="31" t="s">
        <v>158</v>
      </c>
      <c r="P40" s="31" t="s">
        <v>160</v>
      </c>
      <c r="Q40" s="31" t="s">
        <v>165</v>
      </c>
      <c r="R40" s="31" t="s">
        <v>161</v>
      </c>
      <c r="S40" s="31" t="s">
        <v>158</v>
      </c>
      <c r="T40" s="31" t="s">
        <v>158</v>
      </c>
      <c r="U40" s="31" t="s">
        <v>158</v>
      </c>
      <c r="V40" s="31"/>
    </row>
    <row r="41" spans="2:22">
      <c r="B41" s="31">
        <v>18</v>
      </c>
      <c r="C41" s="40"/>
      <c r="D41" s="40"/>
      <c r="E41" s="31" t="s">
        <v>939</v>
      </c>
      <c r="F41" s="38" t="s">
        <v>166</v>
      </c>
      <c r="G41" s="31" t="s">
        <v>163</v>
      </c>
      <c r="H41" s="31" t="s">
        <v>162</v>
      </c>
      <c r="I41" s="31" t="s">
        <v>162</v>
      </c>
      <c r="J41" s="38" t="s">
        <v>158</v>
      </c>
      <c r="K41" s="31" t="s">
        <v>162</v>
      </c>
      <c r="L41" s="31" t="s">
        <v>162</v>
      </c>
      <c r="M41" s="31" t="s">
        <v>163</v>
      </c>
      <c r="N41" s="31" t="s">
        <v>163</v>
      </c>
      <c r="O41" s="31">
        <v>80</v>
      </c>
      <c r="P41" s="31" t="s">
        <v>626</v>
      </c>
      <c r="Q41" s="31" t="s">
        <v>942</v>
      </c>
      <c r="R41" s="31" t="s">
        <v>161</v>
      </c>
      <c r="S41" s="31" t="s">
        <v>158</v>
      </c>
      <c r="T41" s="31" t="s">
        <v>158</v>
      </c>
      <c r="U41" s="31" t="s">
        <v>158</v>
      </c>
      <c r="V41" s="31"/>
    </row>
    <row r="42" spans="2:22">
      <c r="B42" s="31">
        <v>18</v>
      </c>
      <c r="C42" s="40"/>
      <c r="D42" s="40"/>
      <c r="E42" s="31" t="s">
        <v>940</v>
      </c>
      <c r="F42" s="38" t="s">
        <v>166</v>
      </c>
      <c r="G42" s="31" t="s">
        <v>163</v>
      </c>
      <c r="H42" s="31" t="s">
        <v>162</v>
      </c>
      <c r="I42" s="31" t="s">
        <v>162</v>
      </c>
      <c r="J42" s="38" t="s">
        <v>158</v>
      </c>
      <c r="K42" s="31" t="s">
        <v>162</v>
      </c>
      <c r="L42" s="31" t="s">
        <v>162</v>
      </c>
      <c r="M42" s="31" t="s">
        <v>163</v>
      </c>
      <c r="N42" s="31" t="s">
        <v>163</v>
      </c>
      <c r="O42" s="31">
        <v>80</v>
      </c>
      <c r="P42" s="31" t="s">
        <v>626</v>
      </c>
      <c r="Q42" s="31" t="s">
        <v>943</v>
      </c>
      <c r="R42" s="31" t="s">
        <v>161</v>
      </c>
      <c r="S42" s="31" t="s">
        <v>158</v>
      </c>
      <c r="T42" s="31" t="s">
        <v>158</v>
      </c>
      <c r="U42" s="31" t="s">
        <v>158</v>
      </c>
      <c r="V42" s="31"/>
    </row>
    <row r="43" spans="2:22">
      <c r="B43" s="31">
        <v>18</v>
      </c>
      <c r="C43" s="40"/>
      <c r="D43" s="40"/>
      <c r="E43" s="31" t="s">
        <v>949</v>
      </c>
      <c r="F43" s="38" t="s">
        <v>166</v>
      </c>
      <c r="G43" s="31" t="s">
        <v>163</v>
      </c>
      <c r="H43" s="31" t="s">
        <v>162</v>
      </c>
      <c r="I43" s="31" t="s">
        <v>162</v>
      </c>
      <c r="J43" s="38" t="s">
        <v>158</v>
      </c>
      <c r="K43" s="31" t="s">
        <v>162</v>
      </c>
      <c r="L43" s="31" t="s">
        <v>162</v>
      </c>
      <c r="M43" s="31" t="s">
        <v>163</v>
      </c>
      <c r="N43" s="31" t="s">
        <v>163</v>
      </c>
      <c r="O43" s="31">
        <v>80</v>
      </c>
      <c r="P43" s="31" t="s">
        <v>626</v>
      </c>
      <c r="Q43" s="31" t="s">
        <v>944</v>
      </c>
      <c r="R43" s="31" t="s">
        <v>161</v>
      </c>
      <c r="S43" s="31" t="s">
        <v>158</v>
      </c>
      <c r="T43" s="31" t="s">
        <v>158</v>
      </c>
      <c r="U43" s="31" t="s">
        <v>158</v>
      </c>
      <c r="V43" s="31"/>
    </row>
    <row r="44" spans="2:22">
      <c r="B44" s="31">
        <v>18</v>
      </c>
      <c r="C44" s="40"/>
      <c r="D44" s="40"/>
      <c r="E44" s="31" t="s">
        <v>950</v>
      </c>
      <c r="F44" s="38" t="s">
        <v>166</v>
      </c>
      <c r="G44" s="31" t="s">
        <v>163</v>
      </c>
      <c r="H44" s="31" t="s">
        <v>162</v>
      </c>
      <c r="I44" s="31" t="s">
        <v>162</v>
      </c>
      <c r="J44" s="38" t="s">
        <v>158</v>
      </c>
      <c r="K44" s="31" t="s">
        <v>162</v>
      </c>
      <c r="L44" s="31" t="s">
        <v>162</v>
      </c>
      <c r="M44" s="31" t="s">
        <v>163</v>
      </c>
      <c r="N44" s="31" t="s">
        <v>163</v>
      </c>
      <c r="O44" s="31">
        <v>80</v>
      </c>
      <c r="P44" s="31" t="s">
        <v>626</v>
      </c>
      <c r="Q44" s="31" t="s">
        <v>945</v>
      </c>
      <c r="R44" s="31" t="s">
        <v>161</v>
      </c>
      <c r="S44" s="31" t="s">
        <v>158</v>
      </c>
      <c r="T44" s="31" t="s">
        <v>158</v>
      </c>
      <c r="U44" s="31" t="s">
        <v>158</v>
      </c>
      <c r="V44" s="31"/>
    </row>
    <row r="45" spans="2:22">
      <c r="B45" s="31">
        <v>18</v>
      </c>
      <c r="C45" s="40"/>
      <c r="D45" s="40"/>
      <c r="E45" s="31" t="s">
        <v>951</v>
      </c>
      <c r="F45" s="38" t="s">
        <v>166</v>
      </c>
      <c r="G45" s="31" t="s">
        <v>163</v>
      </c>
      <c r="H45" s="31" t="s">
        <v>162</v>
      </c>
      <c r="I45" s="31" t="s">
        <v>162</v>
      </c>
      <c r="J45" s="38" t="s">
        <v>158</v>
      </c>
      <c r="K45" s="31" t="s">
        <v>162</v>
      </c>
      <c r="L45" s="31" t="s">
        <v>162</v>
      </c>
      <c r="M45" s="31" t="s">
        <v>163</v>
      </c>
      <c r="N45" s="31" t="s">
        <v>163</v>
      </c>
      <c r="O45" s="31">
        <v>80</v>
      </c>
      <c r="P45" s="31" t="s">
        <v>626</v>
      </c>
      <c r="Q45" s="31" t="s">
        <v>947</v>
      </c>
      <c r="R45" s="31" t="s">
        <v>161</v>
      </c>
      <c r="S45" s="31" t="s">
        <v>158</v>
      </c>
      <c r="T45" s="31" t="s">
        <v>158</v>
      </c>
      <c r="U45" s="31" t="s">
        <v>158</v>
      </c>
      <c r="V45" s="31"/>
    </row>
    <row r="46" spans="2:22">
      <c r="B46" s="31">
        <v>18</v>
      </c>
      <c r="C46" s="40"/>
      <c r="D46" s="40"/>
      <c r="E46" s="31" t="s">
        <v>952</v>
      </c>
      <c r="F46" s="38" t="s">
        <v>166</v>
      </c>
      <c r="G46" s="31" t="s">
        <v>163</v>
      </c>
      <c r="H46" s="31" t="s">
        <v>162</v>
      </c>
      <c r="I46" s="31" t="s">
        <v>162</v>
      </c>
      <c r="J46" s="38" t="s">
        <v>158</v>
      </c>
      <c r="K46" s="31" t="s">
        <v>162</v>
      </c>
      <c r="L46" s="31" t="s">
        <v>162</v>
      </c>
      <c r="M46" s="31" t="s">
        <v>163</v>
      </c>
      <c r="N46" s="31" t="s">
        <v>163</v>
      </c>
      <c r="O46" s="31">
        <v>80</v>
      </c>
      <c r="P46" s="31" t="s">
        <v>626</v>
      </c>
      <c r="Q46" s="31" t="s">
        <v>948</v>
      </c>
      <c r="R46" s="31" t="s">
        <v>161</v>
      </c>
      <c r="S46" s="31" t="s">
        <v>158</v>
      </c>
      <c r="T46" s="31" t="s">
        <v>158</v>
      </c>
      <c r="U46" s="31" t="s">
        <v>158</v>
      </c>
      <c r="V46" s="31"/>
    </row>
    <row r="47" spans="2:22">
      <c r="B47" s="31">
        <v>18</v>
      </c>
      <c r="C47" s="41"/>
      <c r="D47" s="41"/>
      <c r="E47" s="31" t="s">
        <v>941</v>
      </c>
      <c r="F47" s="38" t="s">
        <v>166</v>
      </c>
      <c r="G47" s="31" t="s">
        <v>163</v>
      </c>
      <c r="H47" s="31" t="s">
        <v>162</v>
      </c>
      <c r="I47" s="31" t="s">
        <v>162</v>
      </c>
      <c r="J47" s="38" t="s">
        <v>158</v>
      </c>
      <c r="K47" s="31" t="s">
        <v>162</v>
      </c>
      <c r="L47" s="31" t="s">
        <v>162</v>
      </c>
      <c r="M47" s="31" t="s">
        <v>163</v>
      </c>
      <c r="N47" s="31" t="s">
        <v>163</v>
      </c>
      <c r="O47" s="31">
        <v>80</v>
      </c>
      <c r="P47" s="31" t="s">
        <v>626</v>
      </c>
      <c r="Q47" s="31" t="s">
        <v>68</v>
      </c>
      <c r="R47" s="31" t="s">
        <v>161</v>
      </c>
      <c r="S47" s="31" t="s">
        <v>158</v>
      </c>
      <c r="T47" s="31" t="s">
        <v>158</v>
      </c>
      <c r="U47" s="31" t="s">
        <v>158</v>
      </c>
      <c r="V47" s="31"/>
    </row>
    <row r="48" spans="2:22">
      <c r="B48" s="31">
        <v>18</v>
      </c>
      <c r="C48" s="38" t="s">
        <v>92</v>
      </c>
      <c r="D48" s="38" t="s">
        <v>953</v>
      </c>
      <c r="E48" s="31" t="s">
        <v>954</v>
      </c>
      <c r="F48" s="38" t="s">
        <v>156</v>
      </c>
      <c r="G48" s="38" t="s">
        <v>162</v>
      </c>
      <c r="H48" s="38" t="s">
        <v>162</v>
      </c>
      <c r="I48" s="38" t="s">
        <v>158</v>
      </c>
      <c r="J48" s="38" t="s">
        <v>162</v>
      </c>
      <c r="K48" s="38" t="s">
        <v>158</v>
      </c>
      <c r="L48" s="38" t="s">
        <v>158</v>
      </c>
      <c r="M48" s="38" t="s">
        <v>163</v>
      </c>
      <c r="N48" s="38" t="s">
        <v>163</v>
      </c>
      <c r="O48" s="38" t="s">
        <v>158</v>
      </c>
      <c r="P48" s="31" t="s">
        <v>164</v>
      </c>
      <c r="Q48" s="31" t="s">
        <v>165</v>
      </c>
      <c r="R48" s="31" t="s">
        <v>161</v>
      </c>
      <c r="S48" s="31" t="s">
        <v>158</v>
      </c>
      <c r="T48" s="31" t="s">
        <v>158</v>
      </c>
      <c r="U48" s="31" t="s">
        <v>158</v>
      </c>
      <c r="V48" s="31"/>
    </row>
    <row r="49" spans="2:22">
      <c r="B49" s="31">
        <v>18</v>
      </c>
      <c r="C49" s="41"/>
      <c r="D49" s="41"/>
      <c r="E49" s="31" t="s">
        <v>956</v>
      </c>
      <c r="F49" s="38" t="s">
        <v>166</v>
      </c>
      <c r="G49" s="31" t="s">
        <v>163</v>
      </c>
      <c r="H49" s="38" t="s">
        <v>162</v>
      </c>
      <c r="I49" s="38" t="s">
        <v>162</v>
      </c>
      <c r="J49" s="38" t="s">
        <v>158</v>
      </c>
      <c r="K49" s="38" t="s">
        <v>162</v>
      </c>
      <c r="L49" s="38" t="s">
        <v>163</v>
      </c>
      <c r="M49" s="38" t="s">
        <v>163</v>
      </c>
      <c r="N49" s="38" t="s">
        <v>163</v>
      </c>
      <c r="O49" s="31">
        <v>80</v>
      </c>
      <c r="P49" s="31" t="s">
        <v>626</v>
      </c>
      <c r="Q49" s="31" t="s">
        <v>946</v>
      </c>
      <c r="R49" s="31" t="s">
        <v>955</v>
      </c>
      <c r="S49" s="31" t="s">
        <v>158</v>
      </c>
      <c r="T49" s="31" t="s">
        <v>158</v>
      </c>
      <c r="U49" s="31" t="s">
        <v>158</v>
      </c>
      <c r="V49" s="31"/>
    </row>
    <row r="50" spans="2:22">
      <c r="B50" s="31">
        <v>18</v>
      </c>
      <c r="C50" s="38" t="s">
        <v>92</v>
      </c>
      <c r="D50" s="31" t="s">
        <v>104</v>
      </c>
      <c r="E50" s="31" t="s">
        <v>1001</v>
      </c>
      <c r="F50" s="38" t="s">
        <v>156</v>
      </c>
      <c r="G50" s="38" t="s">
        <v>162</v>
      </c>
      <c r="H50" s="38" t="s">
        <v>162</v>
      </c>
      <c r="I50" s="38" t="s">
        <v>158</v>
      </c>
      <c r="J50" s="38" t="s">
        <v>162</v>
      </c>
      <c r="K50" s="38" t="s">
        <v>158</v>
      </c>
      <c r="L50" s="38" t="s">
        <v>158</v>
      </c>
      <c r="M50" s="38" t="s">
        <v>163</v>
      </c>
      <c r="N50" s="38" t="s">
        <v>163</v>
      </c>
      <c r="O50" s="38" t="s">
        <v>158</v>
      </c>
      <c r="P50" s="31" t="s">
        <v>1002</v>
      </c>
      <c r="Q50" s="31" t="s">
        <v>1004</v>
      </c>
      <c r="R50" s="31" t="s">
        <v>161</v>
      </c>
      <c r="S50" s="31" t="s">
        <v>158</v>
      </c>
      <c r="T50" s="31" t="s">
        <v>158</v>
      </c>
      <c r="U50" s="31" t="s">
        <v>158</v>
      </c>
      <c r="V50" s="31"/>
    </row>
    <row r="51" spans="2:22">
      <c r="B51" s="31">
        <v>18</v>
      </c>
      <c r="C51" s="76" t="s">
        <v>1226</v>
      </c>
      <c r="D51" s="23" t="s">
        <v>1225</v>
      </c>
      <c r="E51" s="23" t="s">
        <v>1229</v>
      </c>
      <c r="F51" s="77" t="s">
        <v>156</v>
      </c>
      <c r="G51" s="77" t="s">
        <v>162</v>
      </c>
      <c r="H51" s="77" t="s">
        <v>162</v>
      </c>
      <c r="I51" s="77" t="s">
        <v>158</v>
      </c>
      <c r="J51" s="77" t="s">
        <v>162</v>
      </c>
      <c r="K51" s="77" t="s">
        <v>158</v>
      </c>
      <c r="L51" s="77" t="s">
        <v>158</v>
      </c>
      <c r="M51" s="77" t="s">
        <v>163</v>
      </c>
      <c r="N51" s="77" t="s">
        <v>163</v>
      </c>
      <c r="O51" s="77" t="s">
        <v>158</v>
      </c>
      <c r="P51" s="23" t="s">
        <v>160</v>
      </c>
      <c r="Q51" s="23" t="s">
        <v>422</v>
      </c>
      <c r="R51" s="23" t="s">
        <v>161</v>
      </c>
      <c r="S51" s="23" t="s">
        <v>158</v>
      </c>
      <c r="T51" s="23" t="s">
        <v>158</v>
      </c>
      <c r="U51" s="23" t="s">
        <v>158</v>
      </c>
      <c r="V51" s="31"/>
    </row>
    <row r="52" spans="2:22">
      <c r="B52" s="31">
        <v>18</v>
      </c>
      <c r="C52" s="31"/>
      <c r="D52" s="31"/>
      <c r="E52" s="31"/>
      <c r="F52" s="31"/>
      <c r="G52" s="31"/>
      <c r="H52" s="31"/>
      <c r="I52" s="31"/>
      <c r="J52" s="31"/>
      <c r="K52" s="31"/>
      <c r="L52" s="31"/>
      <c r="M52" s="31"/>
      <c r="N52" s="31"/>
      <c r="O52" s="31"/>
      <c r="P52" s="31"/>
      <c r="Q52" s="31"/>
      <c r="R52" s="31"/>
      <c r="S52" s="31"/>
      <c r="T52" s="31"/>
      <c r="U52" s="31"/>
      <c r="V52" s="31"/>
    </row>
    <row r="53" spans="2:22">
      <c r="B53" s="31">
        <v>18</v>
      </c>
      <c r="C53" s="31"/>
      <c r="D53" s="31"/>
      <c r="E53" s="31"/>
      <c r="F53" s="31"/>
      <c r="G53" s="31"/>
      <c r="H53" s="31"/>
      <c r="I53" s="31"/>
      <c r="J53" s="31"/>
      <c r="K53" s="31"/>
      <c r="L53" s="31"/>
      <c r="M53" s="31"/>
      <c r="N53" s="31"/>
      <c r="O53" s="31"/>
      <c r="P53" s="31"/>
      <c r="Q53" s="31"/>
      <c r="R53" s="31"/>
      <c r="S53" s="31"/>
      <c r="T53" s="31"/>
      <c r="U53" s="31"/>
      <c r="V53" s="31"/>
    </row>
    <row r="54" spans="2:22">
      <c r="B54" s="31">
        <v>18</v>
      </c>
      <c r="C54" s="31"/>
      <c r="D54" s="31"/>
      <c r="E54" s="31"/>
      <c r="F54" s="31"/>
      <c r="G54" s="31"/>
      <c r="H54" s="31"/>
      <c r="I54" s="31"/>
      <c r="J54" s="31"/>
      <c r="K54" s="31"/>
      <c r="L54" s="31"/>
      <c r="M54" s="31"/>
      <c r="N54" s="31"/>
      <c r="O54" s="31"/>
      <c r="P54" s="31"/>
      <c r="Q54" s="31"/>
      <c r="R54" s="31"/>
      <c r="S54" s="31"/>
      <c r="T54" s="31"/>
      <c r="U54" s="31"/>
      <c r="V54" s="31"/>
    </row>
    <row r="55" spans="2:22">
      <c r="B55" s="31">
        <v>18</v>
      </c>
      <c r="C55" s="31"/>
      <c r="D55" s="31"/>
      <c r="E55" s="31"/>
      <c r="F55" s="31"/>
      <c r="G55" s="31"/>
      <c r="H55" s="31"/>
      <c r="I55" s="31"/>
      <c r="J55" s="31"/>
      <c r="K55" s="31"/>
      <c r="L55" s="31"/>
      <c r="M55" s="31"/>
      <c r="N55" s="31"/>
      <c r="O55" s="31"/>
      <c r="P55" s="31"/>
      <c r="Q55" s="31"/>
      <c r="R55" s="31"/>
      <c r="S55" s="31"/>
      <c r="T55" s="31"/>
      <c r="U55" s="31"/>
      <c r="V55" s="31"/>
    </row>
    <row r="56" spans="2:22">
      <c r="B56" s="31">
        <v>18</v>
      </c>
      <c r="C56" s="31"/>
      <c r="D56" s="31"/>
      <c r="E56" s="31"/>
      <c r="F56" s="31"/>
      <c r="G56" s="31"/>
      <c r="H56" s="31"/>
      <c r="I56" s="31"/>
      <c r="J56" s="31"/>
      <c r="K56" s="31"/>
      <c r="L56" s="31"/>
      <c r="M56" s="31"/>
      <c r="N56" s="31"/>
      <c r="O56" s="31"/>
      <c r="P56" s="31"/>
      <c r="Q56" s="31"/>
      <c r="R56" s="31"/>
      <c r="S56" s="31"/>
      <c r="T56" s="31"/>
      <c r="U56" s="31"/>
      <c r="V56" s="31"/>
    </row>
    <row r="57" spans="2:22">
      <c r="B57" s="31">
        <v>18</v>
      </c>
      <c r="C57" s="31"/>
      <c r="D57" s="31"/>
      <c r="E57" s="31"/>
      <c r="F57" s="31"/>
      <c r="G57" s="31"/>
      <c r="H57" s="31"/>
      <c r="I57" s="31"/>
      <c r="J57" s="31"/>
      <c r="K57" s="31"/>
      <c r="L57" s="31"/>
      <c r="M57" s="31"/>
      <c r="N57" s="31"/>
      <c r="O57" s="31"/>
      <c r="P57" s="31"/>
      <c r="Q57" s="31"/>
      <c r="R57" s="31"/>
      <c r="S57" s="31"/>
      <c r="T57" s="31"/>
      <c r="U57" s="31"/>
      <c r="V57" s="31"/>
    </row>
    <row r="58" spans="2:22">
      <c r="B58" s="31">
        <v>18</v>
      </c>
      <c r="C58" s="31"/>
      <c r="D58" s="31"/>
      <c r="E58" s="31"/>
      <c r="F58" s="31"/>
      <c r="G58" s="31"/>
      <c r="H58" s="31"/>
      <c r="I58" s="31"/>
      <c r="J58" s="31"/>
      <c r="K58" s="31"/>
      <c r="L58" s="31"/>
      <c r="M58" s="31"/>
      <c r="N58" s="31"/>
      <c r="O58" s="31"/>
      <c r="P58" s="31"/>
      <c r="Q58" s="31"/>
      <c r="R58" s="31"/>
      <c r="S58" s="31"/>
      <c r="T58" s="31"/>
      <c r="U58" s="31"/>
      <c r="V58" s="31"/>
    </row>
    <row r="59" spans="2:22">
      <c r="B59" s="31">
        <v>18</v>
      </c>
      <c r="C59" s="31"/>
      <c r="D59" s="31"/>
      <c r="E59" s="31"/>
      <c r="F59" s="31"/>
      <c r="G59" s="31"/>
      <c r="H59" s="31"/>
      <c r="I59" s="31"/>
      <c r="J59" s="31"/>
      <c r="K59" s="31"/>
      <c r="L59" s="31"/>
      <c r="M59" s="31"/>
      <c r="N59" s="31"/>
      <c r="O59" s="31"/>
      <c r="P59" s="31"/>
      <c r="Q59" s="31"/>
      <c r="R59" s="31"/>
      <c r="S59" s="31"/>
      <c r="T59" s="31"/>
      <c r="U59" s="31"/>
      <c r="V59" s="31"/>
    </row>
    <row r="60" spans="2:22">
      <c r="B60" s="44"/>
      <c r="C60" s="44"/>
      <c r="D60" s="44"/>
      <c r="E60" s="44"/>
      <c r="F60" s="44"/>
      <c r="G60" s="44"/>
      <c r="H60" s="44"/>
      <c r="I60" s="44"/>
      <c r="J60" s="44"/>
      <c r="K60" s="44"/>
      <c r="L60" s="44"/>
      <c r="M60" s="44"/>
      <c r="N60" s="44"/>
      <c r="O60" s="44"/>
      <c r="P60" s="44"/>
      <c r="Q60" s="44"/>
      <c r="R60" s="44"/>
      <c r="S60" s="44"/>
      <c r="T60" s="44"/>
      <c r="U60" s="44"/>
      <c r="V60" s="44"/>
    </row>
    <row r="61" spans="2:22">
      <c r="B61" s="44"/>
      <c r="C61" s="44"/>
      <c r="D61" s="44"/>
      <c r="E61" s="44"/>
      <c r="F61" s="44"/>
      <c r="G61" s="44"/>
      <c r="H61" s="44"/>
      <c r="I61" s="44"/>
      <c r="J61" s="44"/>
      <c r="K61" s="44"/>
      <c r="L61" s="44"/>
      <c r="M61" s="44"/>
      <c r="N61" s="44"/>
      <c r="O61" s="44"/>
      <c r="P61" s="44"/>
      <c r="Q61" s="44"/>
      <c r="R61" s="44"/>
      <c r="S61" s="44"/>
      <c r="T61" s="44"/>
      <c r="U61" s="44"/>
      <c r="V61" s="44"/>
    </row>
  </sheetData>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7C1AB-40B9-424A-A9B7-80B04935D312}">
  <sheetPr codeName="Sheet4">
    <tabColor theme="4"/>
  </sheetPr>
  <dimension ref="B2:K24"/>
  <sheetViews>
    <sheetView showGridLines="0" workbookViewId="0">
      <pane ySplit="4" topLeftCell="A5" activePane="bottomLeft" state="frozen"/>
      <selection activeCell="C38" sqref="C38:G47"/>
      <selection pane="bottomLeft" activeCell="A5" sqref="A5"/>
    </sheetView>
  </sheetViews>
  <sheetFormatPr defaultRowHeight="15"/>
  <cols>
    <col min="1" max="1" width="1.1796875" customWidth="1"/>
    <col min="2" max="2" width="4.90625" customWidth="1"/>
    <col min="3" max="3" width="15.1796875" customWidth="1"/>
    <col min="4" max="4" width="29.36328125" customWidth="1"/>
    <col min="5" max="5" width="47.36328125" bestFit="1" customWidth="1"/>
    <col min="6" max="6" width="8.08984375" customWidth="1"/>
    <col min="7" max="7" width="62.54296875" customWidth="1"/>
    <col min="8" max="10" width="11.36328125" style="18" customWidth="1"/>
    <col min="11" max="11" width="11.6328125" bestFit="1" customWidth="1"/>
  </cols>
  <sheetData>
    <row r="2" spans="2:11" ht="16.2">
      <c r="B2" s="3"/>
      <c r="C2" s="4" t="s">
        <v>170</v>
      </c>
      <c r="D2" s="5"/>
      <c r="E2" s="5"/>
      <c r="F2" s="5"/>
      <c r="G2" s="5"/>
      <c r="H2" s="16"/>
      <c r="I2" s="16"/>
      <c r="J2" s="16"/>
      <c r="K2" s="5"/>
    </row>
    <row r="4" spans="2:11" ht="24">
      <c r="B4" s="25" t="s">
        <v>8</v>
      </c>
      <c r="C4" s="25" t="s">
        <v>37</v>
      </c>
      <c r="D4" s="25" t="s">
        <v>84</v>
      </c>
      <c r="E4" s="25" t="s">
        <v>15</v>
      </c>
      <c r="F4" s="21" t="s">
        <v>171</v>
      </c>
      <c r="G4" s="25" t="s">
        <v>172</v>
      </c>
      <c r="H4" s="21" t="s">
        <v>130</v>
      </c>
      <c r="I4" s="21" t="s">
        <v>131</v>
      </c>
      <c r="J4" s="21" t="s">
        <v>132</v>
      </c>
      <c r="K4" s="21" t="s">
        <v>133</v>
      </c>
    </row>
    <row r="5" spans="2:11">
      <c r="B5" s="24">
        <v>1</v>
      </c>
      <c r="C5" s="23"/>
      <c r="D5" s="23"/>
      <c r="E5" s="23"/>
      <c r="F5" s="23"/>
      <c r="G5" s="23"/>
      <c r="H5" s="27"/>
      <c r="I5" s="27"/>
      <c r="J5" s="27"/>
      <c r="K5" s="23"/>
    </row>
    <row r="6" spans="2:11">
      <c r="B6" s="24">
        <v>2</v>
      </c>
      <c r="C6" s="23"/>
      <c r="D6" s="23"/>
      <c r="E6" s="23"/>
      <c r="F6" s="23"/>
      <c r="G6" s="23"/>
      <c r="H6" s="27"/>
      <c r="I6" s="27"/>
      <c r="J6" s="27"/>
      <c r="K6" s="23"/>
    </row>
    <row r="7" spans="2:11">
      <c r="B7" s="24">
        <v>3</v>
      </c>
      <c r="C7" s="23"/>
      <c r="D7" s="23"/>
      <c r="E7" s="23"/>
      <c r="F7" s="23"/>
      <c r="G7" s="23"/>
      <c r="H7" s="27"/>
      <c r="I7" s="27"/>
      <c r="J7" s="27"/>
      <c r="K7" s="23"/>
    </row>
    <row r="8" spans="2:11">
      <c r="B8" s="24">
        <v>4</v>
      </c>
      <c r="C8" s="23"/>
      <c r="D8" s="23"/>
      <c r="E8" s="23"/>
      <c r="F8" s="23"/>
      <c r="G8" s="23"/>
      <c r="H8" s="27"/>
      <c r="I8" s="27"/>
      <c r="J8" s="27"/>
      <c r="K8" s="23"/>
    </row>
    <row r="9" spans="2:11">
      <c r="B9" s="24">
        <v>5</v>
      </c>
      <c r="C9" s="23"/>
      <c r="D9" s="23"/>
      <c r="E9" s="23"/>
      <c r="F9" s="23"/>
      <c r="G9" s="23"/>
      <c r="H9" s="27"/>
      <c r="I9" s="27"/>
      <c r="J9" s="27"/>
      <c r="K9" s="23"/>
    </row>
    <row r="10" spans="2:11">
      <c r="B10" s="24">
        <v>6</v>
      </c>
      <c r="C10" s="23"/>
      <c r="D10" s="23"/>
      <c r="E10" s="20"/>
      <c r="F10" s="20"/>
      <c r="G10" s="20"/>
      <c r="H10" s="27"/>
      <c r="I10" s="27"/>
      <c r="J10" s="27"/>
      <c r="K10" s="23"/>
    </row>
    <row r="11" spans="2:11">
      <c r="B11" s="24">
        <v>7</v>
      </c>
      <c r="C11" s="23"/>
      <c r="D11" s="23"/>
      <c r="E11" s="23"/>
      <c r="F11" s="23"/>
      <c r="G11" s="23"/>
      <c r="H11" s="27"/>
      <c r="I11" s="27"/>
      <c r="J11" s="27"/>
      <c r="K11" s="23"/>
    </row>
    <row r="12" spans="2:11">
      <c r="B12" s="24">
        <v>8</v>
      </c>
      <c r="C12" s="23"/>
      <c r="D12" s="23"/>
      <c r="E12" s="23"/>
      <c r="F12" s="23"/>
      <c r="G12" s="23"/>
      <c r="H12" s="27"/>
      <c r="I12" s="27"/>
      <c r="J12" s="27"/>
      <c r="K12" s="23"/>
    </row>
    <row r="13" spans="2:11">
      <c r="B13" s="24">
        <v>9</v>
      </c>
      <c r="C13" s="24"/>
      <c r="D13" s="24"/>
      <c r="E13" s="24"/>
      <c r="F13" s="24"/>
      <c r="G13" s="24"/>
      <c r="H13" s="28"/>
      <c r="I13" s="28"/>
      <c r="J13" s="28"/>
      <c r="K13" s="24"/>
    </row>
    <row r="14" spans="2:11">
      <c r="B14" s="24">
        <v>10</v>
      </c>
      <c r="C14" s="24"/>
      <c r="D14" s="24"/>
      <c r="E14" s="24"/>
      <c r="F14" s="24"/>
      <c r="G14" s="24"/>
      <c r="H14" s="28"/>
      <c r="I14" s="28"/>
      <c r="J14" s="28"/>
      <c r="K14" s="24"/>
    </row>
    <row r="15" spans="2:11">
      <c r="B15" s="24">
        <v>11</v>
      </c>
      <c r="C15" s="24"/>
      <c r="D15" s="24"/>
      <c r="E15" s="24"/>
      <c r="F15" s="24"/>
      <c r="G15" s="24"/>
      <c r="H15" s="28"/>
      <c r="I15" s="28"/>
      <c r="J15" s="28"/>
      <c r="K15" s="24"/>
    </row>
    <row r="16" spans="2:11">
      <c r="B16" s="24">
        <v>12</v>
      </c>
      <c r="C16" s="24"/>
      <c r="D16" s="24"/>
      <c r="E16" s="24"/>
      <c r="F16" s="24"/>
      <c r="G16" s="24"/>
      <c r="H16" s="28"/>
      <c r="I16" s="28"/>
      <c r="J16" s="28"/>
      <c r="K16" s="24"/>
    </row>
    <row r="17" spans="2:11">
      <c r="B17" s="24">
        <v>13</v>
      </c>
      <c r="C17" s="24"/>
      <c r="D17" s="24"/>
      <c r="E17" s="24"/>
      <c r="F17" s="24"/>
      <c r="G17" s="24"/>
      <c r="H17" s="28"/>
      <c r="I17" s="28"/>
      <c r="J17" s="28"/>
      <c r="K17" s="24"/>
    </row>
    <row r="18" spans="2:11">
      <c r="B18" s="24">
        <v>14</v>
      </c>
      <c r="C18" s="24"/>
      <c r="D18" s="24"/>
      <c r="E18" s="24"/>
      <c r="F18" s="24"/>
      <c r="G18" s="24"/>
      <c r="H18" s="28"/>
      <c r="I18" s="28"/>
      <c r="J18" s="28"/>
      <c r="K18" s="24"/>
    </row>
    <row r="19" spans="2:11">
      <c r="B19" s="24">
        <v>15</v>
      </c>
      <c r="C19" s="24"/>
      <c r="D19" s="24"/>
      <c r="E19" s="24"/>
      <c r="F19" s="24"/>
      <c r="G19" s="24"/>
      <c r="H19" s="28"/>
      <c r="I19" s="28"/>
      <c r="J19" s="28"/>
      <c r="K19" s="24"/>
    </row>
    <row r="20" spans="2:11">
      <c r="B20" s="24">
        <v>16</v>
      </c>
      <c r="C20" s="24"/>
      <c r="D20" s="24"/>
      <c r="E20" s="24"/>
      <c r="F20" s="24"/>
      <c r="G20" s="24"/>
      <c r="H20" s="28"/>
      <c r="I20" s="28"/>
      <c r="J20" s="28"/>
      <c r="K20" s="24"/>
    </row>
    <row r="21" spans="2:11">
      <c r="B21" s="24">
        <v>17</v>
      </c>
      <c r="C21" s="24"/>
      <c r="D21" s="24"/>
      <c r="E21" s="24"/>
      <c r="F21" s="24"/>
      <c r="G21" s="24"/>
      <c r="H21" s="28"/>
      <c r="I21" s="28"/>
      <c r="J21" s="28"/>
      <c r="K21" s="24"/>
    </row>
    <row r="22" spans="2:11">
      <c r="B22" s="24">
        <v>18</v>
      </c>
      <c r="C22" s="24"/>
      <c r="D22" s="24"/>
      <c r="E22" s="24"/>
      <c r="F22" s="24"/>
      <c r="G22" s="24"/>
      <c r="H22" s="28"/>
      <c r="I22" s="28"/>
      <c r="J22" s="28"/>
      <c r="K22" s="24"/>
    </row>
    <row r="23" spans="2:11">
      <c r="B23" s="24">
        <v>19</v>
      </c>
      <c r="C23" s="24"/>
      <c r="D23" s="24"/>
      <c r="E23" s="24"/>
      <c r="F23" s="24"/>
      <c r="G23" s="24"/>
      <c r="H23" s="28"/>
      <c r="I23" s="28"/>
      <c r="J23" s="28"/>
      <c r="K23" s="24"/>
    </row>
    <row r="24" spans="2:11">
      <c r="B24" s="24">
        <v>20</v>
      </c>
      <c r="C24" s="24"/>
      <c r="D24" s="24"/>
      <c r="E24" s="24"/>
      <c r="F24" s="24"/>
      <c r="G24" s="24"/>
      <c r="H24" s="28"/>
      <c r="I24" s="28"/>
      <c r="J24" s="28"/>
      <c r="K24" s="24"/>
    </row>
  </sheetData>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BD1A-7A94-4F21-96BD-3FEA44AEEF09}">
  <sheetPr codeName="Sheet5">
    <tabColor theme="7" tint="0.79998168889431442"/>
  </sheetPr>
  <dimension ref="A2:AG104"/>
  <sheetViews>
    <sheetView showGridLines="0" workbookViewId="0">
      <pane xSplit="3" ySplit="8" topLeftCell="T37" activePane="bottomRight" state="frozen"/>
      <selection activeCell="F35" sqref="F35"/>
      <selection pane="topRight" activeCell="F35" sqref="F35"/>
      <selection pane="bottomLeft" activeCell="F35" sqref="F35"/>
      <selection pane="bottomRight" activeCell="C39" sqref="C39"/>
    </sheetView>
  </sheetViews>
  <sheetFormatPr defaultRowHeight="15"/>
  <cols>
    <col min="1" max="1" width="2.54296875" customWidth="1"/>
    <col min="2" max="3" width="22.81640625" customWidth="1"/>
    <col min="4" max="4" width="7.1796875" bestFit="1" customWidth="1"/>
    <col min="5" max="5" width="5.1796875" customWidth="1"/>
    <col min="6" max="6" width="4.453125" customWidth="1"/>
    <col min="7" max="7" width="15.36328125" bestFit="1" customWidth="1"/>
    <col min="8" max="8" width="4.453125" customWidth="1"/>
    <col min="9" max="9" width="3.08984375" bestFit="1" customWidth="1"/>
    <col min="10" max="10" width="3.1796875" bestFit="1" customWidth="1"/>
    <col min="11" max="11" width="3" bestFit="1" customWidth="1"/>
    <col min="12" max="12" width="13.54296875" bestFit="1" customWidth="1"/>
    <col min="13" max="13" width="4.453125" customWidth="1"/>
    <col min="14" max="14" width="30.453125" customWidth="1"/>
    <col min="15" max="15" width="27.36328125" customWidth="1"/>
    <col min="16" max="16" width="33.36328125" customWidth="1"/>
    <col min="17" max="17" width="2.36328125" customWidth="1"/>
    <col min="18" max="19" width="6.54296875" customWidth="1"/>
    <col min="20" max="20" width="15.1796875" customWidth="1"/>
    <col min="21" max="21" width="6.54296875" customWidth="1"/>
    <col min="22" max="32" width="20.6328125" customWidth="1"/>
  </cols>
  <sheetData>
    <row r="2" spans="1:33">
      <c r="A2" s="6"/>
      <c r="B2" s="7" t="s">
        <v>38</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3" ht="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5" spans="1:33">
      <c r="B5" s="8" t="s">
        <v>30</v>
      </c>
      <c r="C5" s="8" t="s">
        <v>31</v>
      </c>
      <c r="D5" s="234" t="s">
        <v>37</v>
      </c>
      <c r="E5" s="235"/>
      <c r="F5" s="236"/>
      <c r="G5" s="8" t="s">
        <v>74</v>
      </c>
      <c r="H5" s="234" t="s">
        <v>85</v>
      </c>
      <c r="I5" s="235"/>
      <c r="J5" s="235"/>
      <c r="K5" s="235"/>
      <c r="L5" s="235"/>
      <c r="M5" s="235"/>
      <c r="N5" s="235"/>
      <c r="O5" s="235"/>
      <c r="P5" s="236"/>
      <c r="R5" t="s">
        <v>1859</v>
      </c>
      <c r="V5" t="s">
        <v>109</v>
      </c>
      <c r="X5" t="s">
        <v>1453</v>
      </c>
    </row>
    <row r="6" spans="1:33">
      <c r="B6" s="30" t="s">
        <v>111</v>
      </c>
      <c r="C6" s="30" t="s">
        <v>173</v>
      </c>
      <c r="D6" s="237" t="s">
        <v>94</v>
      </c>
      <c r="E6" s="238"/>
      <c r="F6" s="239"/>
      <c r="G6" s="45" t="s">
        <v>75</v>
      </c>
      <c r="H6" s="240" t="s">
        <v>1890</v>
      </c>
      <c r="I6" s="241"/>
      <c r="J6" s="241"/>
      <c r="K6" s="241"/>
      <c r="L6" s="241"/>
      <c r="M6" s="241"/>
      <c r="N6" s="241"/>
      <c r="O6" s="241"/>
      <c r="P6" s="242"/>
      <c r="R6" t="s">
        <v>1862</v>
      </c>
      <c r="X6" t="s">
        <v>1475</v>
      </c>
    </row>
    <row r="7" spans="1:33">
      <c r="R7" t="s">
        <v>1863</v>
      </c>
    </row>
    <row r="8" spans="1:33">
      <c r="B8" s="17" t="s">
        <v>32</v>
      </c>
      <c r="C8" s="17" t="s">
        <v>33</v>
      </c>
      <c r="D8" s="17" t="s">
        <v>34</v>
      </c>
      <c r="E8" s="109" t="s">
        <v>10</v>
      </c>
      <c r="F8" s="110" t="s">
        <v>23</v>
      </c>
      <c r="G8" s="110" t="s">
        <v>24</v>
      </c>
      <c r="H8" s="110" t="s">
        <v>25</v>
      </c>
      <c r="I8" s="110" t="s">
        <v>26</v>
      </c>
      <c r="J8" s="110" t="s">
        <v>27</v>
      </c>
      <c r="K8" s="110" t="s">
        <v>28</v>
      </c>
      <c r="L8" s="110" t="s">
        <v>29</v>
      </c>
      <c r="M8" s="110" t="s">
        <v>11</v>
      </c>
      <c r="N8" s="17" t="s">
        <v>35</v>
      </c>
      <c r="O8" s="17" t="s">
        <v>36</v>
      </c>
      <c r="P8" s="17" t="s">
        <v>12</v>
      </c>
      <c r="R8" s="88" t="s">
        <v>1858</v>
      </c>
      <c r="S8" s="88" t="s">
        <v>1866</v>
      </c>
      <c r="T8" s="88" t="s">
        <v>155</v>
      </c>
      <c r="V8" s="88" t="s">
        <v>1431</v>
      </c>
      <c r="W8" s="88" t="s">
        <v>1432</v>
      </c>
      <c r="X8" s="88" t="s">
        <v>1371</v>
      </c>
      <c r="Y8" s="88" t="s">
        <v>358</v>
      </c>
      <c r="Z8" s="17" t="s">
        <v>1870</v>
      </c>
      <c r="AA8" s="88" t="s">
        <v>1868</v>
      </c>
      <c r="AB8" s="88" t="s">
        <v>1881</v>
      </c>
      <c r="AC8" s="88" t="s">
        <v>1882</v>
      </c>
      <c r="AD8" s="88" t="s">
        <v>1869</v>
      </c>
      <c r="AE8" s="88" t="s">
        <v>1879</v>
      </c>
      <c r="AF8" s="88" t="s">
        <v>1880</v>
      </c>
    </row>
    <row r="9" spans="1:33" s="92" customFormat="1" ht="12.6">
      <c r="A9" s="93"/>
      <c r="B9" s="46" t="s">
        <v>175</v>
      </c>
      <c r="C9" s="46" t="s">
        <v>176</v>
      </c>
      <c r="D9" s="46"/>
      <c r="E9" s="47">
        <v>40</v>
      </c>
      <c r="F9" s="47"/>
      <c r="G9" s="46"/>
      <c r="H9" s="46"/>
      <c r="I9" s="47"/>
      <c r="J9" s="47" t="s">
        <v>14</v>
      </c>
      <c r="K9" s="47"/>
      <c r="L9" s="46" t="s">
        <v>177</v>
      </c>
      <c r="M9" s="46" t="s">
        <v>14</v>
      </c>
      <c r="N9" s="48" t="s">
        <v>356</v>
      </c>
      <c r="O9" s="49"/>
      <c r="P9" s="49" t="s">
        <v>359</v>
      </c>
      <c r="Q9" s="93"/>
      <c r="R9" s="162" t="s">
        <v>1861</v>
      </c>
      <c r="S9" s="162" t="s">
        <v>136</v>
      </c>
      <c r="T9" s="159"/>
      <c r="U9" s="93"/>
      <c r="V9" s="243" t="s">
        <v>359</v>
      </c>
      <c r="W9" s="243"/>
      <c r="X9" s="243"/>
      <c r="Y9" s="243"/>
      <c r="Z9" s="243"/>
      <c r="AA9" s="243"/>
      <c r="AB9" s="243"/>
      <c r="AC9" s="243"/>
      <c r="AD9" s="243"/>
      <c r="AE9" s="243"/>
      <c r="AF9" s="243"/>
    </row>
    <row r="10" spans="1:33" s="92" customFormat="1" ht="12.6">
      <c r="A10" s="93"/>
      <c r="B10" s="46" t="s">
        <v>178</v>
      </c>
      <c r="C10" s="46" t="s">
        <v>42</v>
      </c>
      <c r="D10" s="46" t="s">
        <v>13</v>
      </c>
      <c r="E10" s="47">
        <v>8</v>
      </c>
      <c r="F10" s="47"/>
      <c r="G10" s="46"/>
      <c r="H10" s="46"/>
      <c r="I10" s="47"/>
      <c r="J10" s="47"/>
      <c r="K10" s="47"/>
      <c r="L10" s="46" t="s">
        <v>179</v>
      </c>
      <c r="M10" s="46"/>
      <c r="N10" s="49" t="s">
        <v>178</v>
      </c>
      <c r="O10" s="49"/>
      <c r="P10" s="49" t="s">
        <v>360</v>
      </c>
      <c r="Q10" s="93"/>
      <c r="R10" s="162" t="s">
        <v>136</v>
      </c>
      <c r="S10" s="162" t="s">
        <v>136</v>
      </c>
      <c r="T10" s="159"/>
      <c r="U10" s="93"/>
      <c r="V10" s="243" t="s">
        <v>360</v>
      </c>
      <c r="W10" s="243"/>
      <c r="X10" s="243"/>
      <c r="Y10" s="243"/>
      <c r="Z10" s="243"/>
      <c r="AA10" s="243"/>
      <c r="AB10" s="243"/>
      <c r="AC10" s="243"/>
      <c r="AD10" s="243"/>
      <c r="AE10" s="243"/>
      <c r="AF10" s="243"/>
    </row>
    <row r="11" spans="1:33" s="92" customFormat="1" ht="12.6">
      <c r="A11" s="93"/>
      <c r="B11" s="46" t="s">
        <v>180</v>
      </c>
      <c r="C11" s="46" t="s">
        <v>181</v>
      </c>
      <c r="D11" s="46" t="s">
        <v>13</v>
      </c>
      <c r="E11" s="47">
        <v>8</v>
      </c>
      <c r="F11" s="47"/>
      <c r="G11" s="46"/>
      <c r="H11" s="46"/>
      <c r="I11" s="47"/>
      <c r="J11" s="47"/>
      <c r="K11" s="47"/>
      <c r="L11" s="46" t="s">
        <v>182</v>
      </c>
      <c r="M11" s="46"/>
      <c r="N11" s="49" t="s">
        <v>344</v>
      </c>
      <c r="O11" s="49"/>
      <c r="P11" s="49" t="s">
        <v>344</v>
      </c>
      <c r="Q11" s="93"/>
      <c r="R11" s="162" t="s">
        <v>136</v>
      </c>
      <c r="S11" s="162" t="s">
        <v>136</v>
      </c>
      <c r="T11" s="159"/>
      <c r="U11" s="93"/>
      <c r="V11" s="225" t="s">
        <v>344</v>
      </c>
      <c r="W11" s="226"/>
      <c r="X11" s="226"/>
      <c r="Y11" s="226"/>
      <c r="Z11" s="120" t="s">
        <v>344</v>
      </c>
      <c r="AA11" s="120" t="s">
        <v>344</v>
      </c>
      <c r="AB11" s="120"/>
      <c r="AC11" s="120"/>
      <c r="AD11" s="120" t="s">
        <v>344</v>
      </c>
      <c r="AE11" s="120"/>
      <c r="AF11" s="120"/>
    </row>
    <row r="12" spans="1:33" s="92" customFormat="1" ht="50.4">
      <c r="A12" s="93"/>
      <c r="B12" s="46" t="s">
        <v>183</v>
      </c>
      <c r="C12" s="46" t="s">
        <v>184</v>
      </c>
      <c r="D12" s="46" t="s">
        <v>13</v>
      </c>
      <c r="E12" s="47">
        <v>60</v>
      </c>
      <c r="F12" s="47"/>
      <c r="G12" s="46"/>
      <c r="H12" s="46"/>
      <c r="I12" s="47" t="s">
        <v>14</v>
      </c>
      <c r="J12" s="47"/>
      <c r="K12" s="47"/>
      <c r="L12" s="46" t="s">
        <v>1906</v>
      </c>
      <c r="M12" s="46" t="s">
        <v>14</v>
      </c>
      <c r="N12" s="49" t="s">
        <v>183</v>
      </c>
      <c r="O12" s="49"/>
      <c r="P12" s="49"/>
      <c r="Q12" s="93"/>
      <c r="R12" s="162" t="s">
        <v>1861</v>
      </c>
      <c r="S12" s="162" t="s">
        <v>136</v>
      </c>
      <c r="T12" s="159"/>
      <c r="U12" s="93"/>
      <c r="V12" s="91" t="s">
        <v>1454</v>
      </c>
      <c r="W12" s="91" t="s">
        <v>1454</v>
      </c>
      <c r="X12" s="91" t="s">
        <v>1892</v>
      </c>
      <c r="Y12" s="91" t="s">
        <v>1455</v>
      </c>
      <c r="Z12" s="91" t="s">
        <v>1415</v>
      </c>
      <c r="AA12" s="91" t="s">
        <v>1454</v>
      </c>
      <c r="AB12" s="91" t="s">
        <v>1892</v>
      </c>
      <c r="AC12" s="91" t="s">
        <v>1455</v>
      </c>
      <c r="AD12" s="91" t="s">
        <v>1454</v>
      </c>
      <c r="AE12" s="91" t="s">
        <v>1456</v>
      </c>
      <c r="AF12" s="91" t="s">
        <v>1455</v>
      </c>
    </row>
    <row r="13" spans="1:33" s="92" customFormat="1" ht="25.2">
      <c r="A13" s="93"/>
      <c r="B13" s="46" t="s">
        <v>185</v>
      </c>
      <c r="C13" s="46" t="s">
        <v>186</v>
      </c>
      <c r="D13" s="46" t="s">
        <v>13</v>
      </c>
      <c r="E13" s="47">
        <v>40</v>
      </c>
      <c r="F13" s="47"/>
      <c r="G13" s="46">
        <v>0</v>
      </c>
      <c r="H13" s="46"/>
      <c r="I13" s="47" t="s">
        <v>14</v>
      </c>
      <c r="J13" s="47"/>
      <c r="K13" s="47"/>
      <c r="L13" s="46" t="s">
        <v>177</v>
      </c>
      <c r="M13" s="46" t="s">
        <v>14</v>
      </c>
      <c r="N13" s="48" t="s">
        <v>185</v>
      </c>
      <c r="O13" s="49"/>
      <c r="P13" s="49" t="s">
        <v>388</v>
      </c>
      <c r="Q13" s="93"/>
      <c r="R13" s="162" t="s">
        <v>1861</v>
      </c>
      <c r="S13" s="162" t="s">
        <v>136</v>
      </c>
      <c r="T13" s="159"/>
      <c r="U13" s="93"/>
      <c r="V13" s="91" t="s">
        <v>1317</v>
      </c>
      <c r="W13" s="91" t="s">
        <v>1317</v>
      </c>
      <c r="X13" s="91" t="s">
        <v>1372</v>
      </c>
      <c r="Y13" s="91" t="s">
        <v>1317</v>
      </c>
      <c r="Z13" s="91" t="s">
        <v>1372</v>
      </c>
      <c r="AA13" s="91" t="s">
        <v>1317</v>
      </c>
      <c r="AB13" s="91" t="s">
        <v>1372</v>
      </c>
      <c r="AC13" s="91" t="s">
        <v>1317</v>
      </c>
      <c r="AD13" s="91" t="s">
        <v>1317</v>
      </c>
      <c r="AE13" s="91" t="s">
        <v>1372</v>
      </c>
      <c r="AF13" s="91" t="s">
        <v>1317</v>
      </c>
    </row>
    <row r="14" spans="1:33" s="92" customFormat="1" ht="50.4">
      <c r="A14" s="93"/>
      <c r="B14" s="46" t="s">
        <v>189</v>
      </c>
      <c r="C14" s="46" t="s">
        <v>190</v>
      </c>
      <c r="D14" s="46" t="s">
        <v>13</v>
      </c>
      <c r="E14" s="47">
        <v>40</v>
      </c>
      <c r="F14" s="47"/>
      <c r="G14" s="46"/>
      <c r="H14" s="46"/>
      <c r="I14" s="47"/>
      <c r="J14" s="47"/>
      <c r="K14" s="47"/>
      <c r="L14" s="46" t="s">
        <v>177</v>
      </c>
      <c r="M14" s="46" t="s">
        <v>14</v>
      </c>
      <c r="N14" s="49" t="s">
        <v>189</v>
      </c>
      <c r="O14" s="48" t="s">
        <v>1872</v>
      </c>
      <c r="P14" s="49"/>
      <c r="Q14" s="93"/>
      <c r="R14" s="162" t="s">
        <v>1861</v>
      </c>
      <c r="S14" s="162" t="s">
        <v>136</v>
      </c>
      <c r="T14" s="159"/>
      <c r="U14" s="93"/>
      <c r="V14" s="91" t="s">
        <v>363</v>
      </c>
      <c r="W14" s="91" t="s">
        <v>363</v>
      </c>
      <c r="X14" s="91" t="s">
        <v>362</v>
      </c>
      <c r="Y14" s="91" t="s">
        <v>364</v>
      </c>
      <c r="Z14" s="49" t="s">
        <v>1365</v>
      </c>
      <c r="AA14" s="91" t="s">
        <v>363</v>
      </c>
      <c r="AB14" s="91" t="s">
        <v>362</v>
      </c>
      <c r="AC14" s="91" t="s">
        <v>364</v>
      </c>
      <c r="AD14" s="91" t="s">
        <v>363</v>
      </c>
      <c r="AE14" s="91" t="s">
        <v>362</v>
      </c>
      <c r="AF14" s="91" t="s">
        <v>364</v>
      </c>
    </row>
    <row r="15" spans="1:33" s="92" customFormat="1" ht="100.8">
      <c r="A15" s="93"/>
      <c r="B15" s="46" t="s">
        <v>214</v>
      </c>
      <c r="C15" s="46" t="s">
        <v>215</v>
      </c>
      <c r="D15" s="46" t="s">
        <v>13</v>
      </c>
      <c r="E15" s="47">
        <v>40</v>
      </c>
      <c r="F15" s="47"/>
      <c r="G15" s="46"/>
      <c r="H15" s="46"/>
      <c r="I15" s="47"/>
      <c r="J15" s="47"/>
      <c r="K15" s="47"/>
      <c r="L15" s="46" t="s">
        <v>211</v>
      </c>
      <c r="M15" s="46" t="s">
        <v>14</v>
      </c>
      <c r="N15" s="49" t="s">
        <v>214</v>
      </c>
      <c r="O15" s="48" t="s">
        <v>1873</v>
      </c>
      <c r="P15" s="108" t="s">
        <v>393</v>
      </c>
      <c r="Q15" s="93"/>
      <c r="R15" s="162" t="s">
        <v>1861</v>
      </c>
      <c r="S15" s="162" t="s">
        <v>1861</v>
      </c>
      <c r="T15" s="159"/>
      <c r="U15" s="93"/>
      <c r="V15" s="91" t="s">
        <v>1884</v>
      </c>
      <c r="W15" s="91" t="s">
        <v>1430</v>
      </c>
      <c r="X15" s="91" t="s">
        <v>1366</v>
      </c>
      <c r="Y15" s="91" t="s">
        <v>1367</v>
      </c>
      <c r="Z15" s="49" t="s">
        <v>1368</v>
      </c>
      <c r="AA15" s="91" t="s">
        <v>1884</v>
      </c>
      <c r="AB15" s="91" t="s">
        <v>1366</v>
      </c>
      <c r="AC15" s="91" t="s">
        <v>1367</v>
      </c>
      <c r="AD15" s="91" t="s">
        <v>1884</v>
      </c>
      <c r="AE15" s="91" t="s">
        <v>1366</v>
      </c>
      <c r="AF15" s="91" t="s">
        <v>1367</v>
      </c>
    </row>
    <row r="16" spans="1:33" s="92" customFormat="1" ht="12.6">
      <c r="A16" s="93"/>
      <c r="B16" s="46" t="s">
        <v>216</v>
      </c>
      <c r="C16" s="46" t="s">
        <v>217</v>
      </c>
      <c r="D16" s="46" t="s">
        <v>13</v>
      </c>
      <c r="E16" s="47">
        <v>40</v>
      </c>
      <c r="F16" s="47"/>
      <c r="G16" s="46"/>
      <c r="H16" s="46"/>
      <c r="I16" s="47"/>
      <c r="J16" s="47"/>
      <c r="K16" s="47"/>
      <c r="L16" s="46" t="s">
        <v>211</v>
      </c>
      <c r="M16" s="46" t="s">
        <v>14</v>
      </c>
      <c r="N16" s="49" t="s">
        <v>216</v>
      </c>
      <c r="O16" s="49"/>
      <c r="P16" s="49" t="s">
        <v>344</v>
      </c>
      <c r="Q16" s="93"/>
      <c r="R16" s="162" t="s">
        <v>136</v>
      </c>
      <c r="S16" s="162" t="s">
        <v>136</v>
      </c>
      <c r="T16" s="159"/>
      <c r="U16" s="93"/>
      <c r="V16" s="225" t="s">
        <v>344</v>
      </c>
      <c r="W16" s="226"/>
      <c r="X16" s="226"/>
      <c r="Y16" s="226"/>
      <c r="Z16" s="120" t="s">
        <v>344</v>
      </c>
      <c r="AA16" s="120" t="s">
        <v>344</v>
      </c>
      <c r="AB16" s="120"/>
      <c r="AC16" s="120"/>
      <c r="AD16" s="120" t="s">
        <v>344</v>
      </c>
      <c r="AE16" s="120"/>
      <c r="AF16" s="120"/>
    </row>
    <row r="17" spans="1:32" s="92" customFormat="1" ht="12.6">
      <c r="A17" s="93"/>
      <c r="B17" s="46" t="s">
        <v>191</v>
      </c>
      <c r="C17" s="46" t="s">
        <v>192</v>
      </c>
      <c r="D17" s="135" t="s">
        <v>193</v>
      </c>
      <c r="E17" s="47">
        <v>255</v>
      </c>
      <c r="F17" s="47"/>
      <c r="G17" s="46"/>
      <c r="H17" s="46"/>
      <c r="I17" s="47"/>
      <c r="J17" s="47"/>
      <c r="K17" s="47"/>
      <c r="L17" s="46" t="s">
        <v>194</v>
      </c>
      <c r="M17" s="46" t="s">
        <v>14</v>
      </c>
      <c r="N17" s="49" t="s">
        <v>191</v>
      </c>
      <c r="O17" s="49"/>
      <c r="P17" s="49"/>
      <c r="Q17" s="93"/>
      <c r="R17" s="162" t="s">
        <v>1861</v>
      </c>
      <c r="S17" s="162" t="s">
        <v>1861</v>
      </c>
      <c r="T17" s="159"/>
      <c r="U17" s="93"/>
      <c r="V17" s="91" t="s">
        <v>1427</v>
      </c>
      <c r="W17" s="172" t="s">
        <v>365</v>
      </c>
      <c r="X17" s="172" t="s">
        <v>365</v>
      </c>
      <c r="Y17" s="158" t="s">
        <v>365</v>
      </c>
      <c r="Z17" s="91" t="s">
        <v>1433</v>
      </c>
      <c r="AA17" s="91" t="s">
        <v>1427</v>
      </c>
      <c r="AB17" s="172" t="s">
        <v>365</v>
      </c>
      <c r="AC17" s="158" t="s">
        <v>365</v>
      </c>
      <c r="AD17" s="91" t="s">
        <v>1427</v>
      </c>
      <c r="AE17" s="172" t="s">
        <v>365</v>
      </c>
      <c r="AF17" s="158" t="s">
        <v>365</v>
      </c>
    </row>
    <row r="18" spans="1:32" s="92" customFormat="1" ht="25.2">
      <c r="A18" s="93"/>
      <c r="B18" s="46" t="s">
        <v>340</v>
      </c>
      <c r="C18" s="46" t="s">
        <v>341</v>
      </c>
      <c r="D18" s="135" t="s">
        <v>193</v>
      </c>
      <c r="E18" s="47">
        <v>255</v>
      </c>
      <c r="F18" s="47"/>
      <c r="G18" s="46"/>
      <c r="H18" s="46"/>
      <c r="I18" s="47"/>
      <c r="J18" s="47"/>
      <c r="K18" s="47"/>
      <c r="L18" s="46" t="s">
        <v>194</v>
      </c>
      <c r="M18" s="46" t="s">
        <v>14</v>
      </c>
      <c r="N18" s="49"/>
      <c r="O18" s="48"/>
      <c r="P18" s="49"/>
      <c r="Q18" s="93"/>
      <c r="R18" s="162" t="s">
        <v>1861</v>
      </c>
      <c r="S18" s="162" t="s">
        <v>1864</v>
      </c>
      <c r="T18" s="159"/>
      <c r="U18" s="93"/>
      <c r="V18" s="173" t="s">
        <v>1445</v>
      </c>
      <c r="W18" s="171" t="s">
        <v>344</v>
      </c>
      <c r="X18" s="171" t="s">
        <v>344</v>
      </c>
      <c r="Y18" s="171" t="s">
        <v>344</v>
      </c>
      <c r="Z18" s="171" t="s">
        <v>344</v>
      </c>
      <c r="AA18" s="171" t="s">
        <v>344</v>
      </c>
      <c r="AB18" s="171" t="s">
        <v>344</v>
      </c>
      <c r="AC18" s="171" t="s">
        <v>344</v>
      </c>
      <c r="AD18" s="171" t="s">
        <v>344</v>
      </c>
      <c r="AE18" s="171" t="s">
        <v>344</v>
      </c>
      <c r="AF18" s="171" t="s">
        <v>344</v>
      </c>
    </row>
    <row r="19" spans="1:32" s="92" customFormat="1" ht="12.6">
      <c r="A19" s="93"/>
      <c r="B19" s="46" t="s">
        <v>195</v>
      </c>
      <c r="C19" s="46" t="s">
        <v>196</v>
      </c>
      <c r="D19" s="135" t="s">
        <v>193</v>
      </c>
      <c r="E19" s="47">
        <v>255</v>
      </c>
      <c r="F19" s="47"/>
      <c r="G19" s="46"/>
      <c r="H19" s="46"/>
      <c r="I19" s="47"/>
      <c r="J19" s="47"/>
      <c r="K19" s="47"/>
      <c r="L19" s="46" t="s">
        <v>194</v>
      </c>
      <c r="M19" s="46" t="s">
        <v>14</v>
      </c>
      <c r="N19" s="49" t="s">
        <v>195</v>
      </c>
      <c r="O19" s="48"/>
      <c r="P19" s="49" t="s">
        <v>365</v>
      </c>
      <c r="Q19" s="93"/>
      <c r="R19" s="162" t="s">
        <v>1861</v>
      </c>
      <c r="S19" s="162" t="s">
        <v>1861</v>
      </c>
      <c r="T19" s="159"/>
      <c r="U19" s="93"/>
      <c r="V19" s="231" t="s">
        <v>1416</v>
      </c>
      <c r="W19" s="232"/>
      <c r="X19" s="232"/>
      <c r="Y19" s="232"/>
      <c r="Z19" s="49" t="s">
        <v>1417</v>
      </c>
      <c r="AA19" s="49" t="s">
        <v>1874</v>
      </c>
      <c r="AB19" s="49"/>
      <c r="AC19" s="49"/>
      <c r="AD19" s="49" t="s">
        <v>1874</v>
      </c>
      <c r="AE19" s="49"/>
      <c r="AF19" s="49"/>
    </row>
    <row r="20" spans="1:32" s="92" customFormat="1" ht="53.25" customHeight="1">
      <c r="A20" s="93"/>
      <c r="B20" s="46" t="s">
        <v>342</v>
      </c>
      <c r="C20" s="46" t="s">
        <v>343</v>
      </c>
      <c r="D20" s="135" t="s">
        <v>47</v>
      </c>
      <c r="E20" s="47" t="s">
        <v>505</v>
      </c>
      <c r="F20" s="47"/>
      <c r="G20" s="46"/>
      <c r="H20" s="46"/>
      <c r="I20" s="47"/>
      <c r="J20" s="47"/>
      <c r="K20" s="47"/>
      <c r="L20" s="46" t="s">
        <v>204</v>
      </c>
      <c r="M20" s="46" t="s">
        <v>14</v>
      </c>
      <c r="N20" s="49"/>
      <c r="O20" s="48"/>
      <c r="P20" s="49"/>
      <c r="Q20" s="93"/>
      <c r="R20" s="162" t="s">
        <v>1861</v>
      </c>
      <c r="S20" s="162" t="s">
        <v>1864</v>
      </c>
      <c r="T20" s="159"/>
      <c r="U20" s="93"/>
      <c r="V20" s="91" t="s">
        <v>1444</v>
      </c>
      <c r="W20" s="91" t="s">
        <v>1443</v>
      </c>
      <c r="X20" s="120" t="s">
        <v>344</v>
      </c>
      <c r="Y20" s="120" t="s">
        <v>344</v>
      </c>
      <c r="Z20" s="120" t="s">
        <v>344</v>
      </c>
      <c r="AA20" s="91" t="s">
        <v>1444</v>
      </c>
      <c r="AB20" s="120" t="s">
        <v>344</v>
      </c>
      <c r="AC20" s="120" t="s">
        <v>344</v>
      </c>
      <c r="AD20" s="91" t="s">
        <v>1444</v>
      </c>
      <c r="AE20" s="120" t="s">
        <v>344</v>
      </c>
      <c r="AF20" s="120" t="s">
        <v>344</v>
      </c>
    </row>
    <row r="21" spans="1:32" s="92" customFormat="1" ht="45.75" customHeight="1">
      <c r="A21" s="93"/>
      <c r="B21" s="46" t="s">
        <v>201</v>
      </c>
      <c r="C21" s="46" t="s">
        <v>202</v>
      </c>
      <c r="D21" s="135" t="s">
        <v>13</v>
      </c>
      <c r="E21" s="47" t="s">
        <v>505</v>
      </c>
      <c r="F21" s="47"/>
      <c r="G21" s="46"/>
      <c r="H21" s="46"/>
      <c r="I21" s="47"/>
      <c r="J21" s="47"/>
      <c r="K21" s="47"/>
      <c r="L21" s="46" t="s">
        <v>204</v>
      </c>
      <c r="M21" s="46" t="s">
        <v>14</v>
      </c>
      <c r="N21" s="49" t="s">
        <v>346</v>
      </c>
      <c r="O21" s="49"/>
      <c r="P21" s="49"/>
      <c r="Q21" s="93"/>
      <c r="R21" s="162" t="s">
        <v>1861</v>
      </c>
      <c r="S21" s="162" t="s">
        <v>136</v>
      </c>
      <c r="T21" s="159"/>
      <c r="U21" s="93"/>
      <c r="V21" s="244" t="s">
        <v>1437</v>
      </c>
      <c r="W21" s="244"/>
      <c r="X21" s="244"/>
      <c r="Y21" s="244"/>
      <c r="Z21" s="48" t="s">
        <v>1438</v>
      </c>
      <c r="AA21" s="48" t="s">
        <v>1438</v>
      </c>
      <c r="AB21" s="48"/>
      <c r="AC21" s="48"/>
      <c r="AD21" s="48" t="s">
        <v>1438</v>
      </c>
      <c r="AE21" s="48"/>
      <c r="AF21" s="48"/>
    </row>
    <row r="22" spans="1:32" s="92" customFormat="1" ht="51.75" customHeight="1">
      <c r="A22" s="93"/>
      <c r="B22" s="46" t="s">
        <v>205</v>
      </c>
      <c r="C22" s="46" t="s">
        <v>206</v>
      </c>
      <c r="D22" s="135" t="s">
        <v>13</v>
      </c>
      <c r="E22" s="47" t="s">
        <v>505</v>
      </c>
      <c r="F22" s="47"/>
      <c r="G22" s="46"/>
      <c r="H22" s="46"/>
      <c r="I22" s="47"/>
      <c r="J22" s="47"/>
      <c r="K22" s="47"/>
      <c r="L22" s="46" t="s">
        <v>204</v>
      </c>
      <c r="M22" s="46" t="s">
        <v>14</v>
      </c>
      <c r="N22" s="49" t="s">
        <v>347</v>
      </c>
      <c r="O22" s="49"/>
      <c r="P22" s="49"/>
      <c r="Q22" s="93"/>
      <c r="R22" s="162" t="s">
        <v>1861</v>
      </c>
      <c r="S22" s="162" t="s">
        <v>1861</v>
      </c>
      <c r="T22" s="159"/>
      <c r="U22" s="93"/>
      <c r="V22" s="91" t="s">
        <v>1441</v>
      </c>
      <c r="W22" s="91" t="s">
        <v>1446</v>
      </c>
      <c r="X22" s="91" t="s">
        <v>1439</v>
      </c>
      <c r="Y22" s="91" t="s">
        <v>1440</v>
      </c>
      <c r="Z22" s="91" t="s">
        <v>1448</v>
      </c>
      <c r="AA22" s="91" t="s">
        <v>1441</v>
      </c>
      <c r="AB22" s="91" t="s">
        <v>1439</v>
      </c>
      <c r="AC22" s="91" t="s">
        <v>1440</v>
      </c>
      <c r="AD22" s="91" t="s">
        <v>1441</v>
      </c>
      <c r="AE22" s="91" t="s">
        <v>1439</v>
      </c>
      <c r="AF22" s="91" t="s">
        <v>1440</v>
      </c>
    </row>
    <row r="23" spans="1:32" s="92" customFormat="1" ht="12.6">
      <c r="A23" s="93"/>
      <c r="B23" s="46" t="s">
        <v>322</v>
      </c>
      <c r="C23" s="46" t="s">
        <v>323</v>
      </c>
      <c r="D23" s="135" t="s">
        <v>13</v>
      </c>
      <c r="E23" s="47" t="s">
        <v>505</v>
      </c>
      <c r="F23" s="47"/>
      <c r="G23" s="46"/>
      <c r="H23" s="46"/>
      <c r="I23" s="47"/>
      <c r="J23" s="47"/>
      <c r="K23" s="47"/>
      <c r="L23" s="46" t="s">
        <v>204</v>
      </c>
      <c r="M23" s="46"/>
      <c r="N23" s="49"/>
      <c r="O23" s="48"/>
      <c r="P23" s="49"/>
      <c r="Q23" s="93"/>
      <c r="R23" s="162" t="s">
        <v>136</v>
      </c>
      <c r="S23" s="162" t="s">
        <v>136</v>
      </c>
      <c r="T23" s="159"/>
      <c r="U23" s="93"/>
      <c r="V23" s="225" t="s">
        <v>344</v>
      </c>
      <c r="W23" s="226"/>
      <c r="X23" s="226"/>
      <c r="Y23" s="227"/>
      <c r="Z23" s="120" t="s">
        <v>344</v>
      </c>
      <c r="AA23" s="120" t="s">
        <v>344</v>
      </c>
      <c r="AB23" s="120"/>
      <c r="AC23" s="120"/>
      <c r="AD23" s="120" t="s">
        <v>344</v>
      </c>
      <c r="AE23" s="120"/>
      <c r="AF23" s="120"/>
    </row>
    <row r="24" spans="1:32" s="92" customFormat="1" ht="12.6">
      <c r="A24" s="93"/>
      <c r="B24" s="46" t="s">
        <v>324</v>
      </c>
      <c r="C24" s="46" t="s">
        <v>325</v>
      </c>
      <c r="D24" s="135" t="s">
        <v>13</v>
      </c>
      <c r="E24" s="47" t="s">
        <v>505</v>
      </c>
      <c r="F24" s="47"/>
      <c r="G24" s="46"/>
      <c r="H24" s="46"/>
      <c r="I24" s="47"/>
      <c r="J24" s="47"/>
      <c r="K24" s="47"/>
      <c r="L24" s="46" t="s">
        <v>204</v>
      </c>
      <c r="M24" s="46"/>
      <c r="N24" s="49"/>
      <c r="O24" s="48"/>
      <c r="P24" s="49"/>
      <c r="Q24" s="93"/>
      <c r="R24" s="162" t="s">
        <v>136</v>
      </c>
      <c r="S24" s="162" t="s">
        <v>136</v>
      </c>
      <c r="T24" s="159"/>
      <c r="U24" s="93"/>
      <c r="V24" s="225" t="s">
        <v>344</v>
      </c>
      <c r="W24" s="226"/>
      <c r="X24" s="226"/>
      <c r="Y24" s="227"/>
      <c r="Z24" s="120" t="s">
        <v>344</v>
      </c>
      <c r="AA24" s="120" t="s">
        <v>344</v>
      </c>
      <c r="AB24" s="120"/>
      <c r="AC24" s="120"/>
      <c r="AD24" s="120" t="s">
        <v>344</v>
      </c>
      <c r="AE24" s="120"/>
      <c r="AF24" s="120"/>
    </row>
    <row r="25" spans="1:32" s="92" customFormat="1" ht="63">
      <c r="A25" s="93"/>
      <c r="B25" s="46" t="s">
        <v>228</v>
      </c>
      <c r="C25" s="46" t="s">
        <v>229</v>
      </c>
      <c r="D25" s="46" t="s">
        <v>230</v>
      </c>
      <c r="E25" s="47"/>
      <c r="F25" s="47"/>
      <c r="G25" s="46">
        <v>0</v>
      </c>
      <c r="H25" s="46"/>
      <c r="I25" s="47"/>
      <c r="J25" s="47"/>
      <c r="K25" s="47"/>
      <c r="L25" s="46" t="s">
        <v>231</v>
      </c>
      <c r="M25" s="46" t="s">
        <v>14</v>
      </c>
      <c r="N25" s="48" t="s">
        <v>228</v>
      </c>
      <c r="O25" s="49"/>
      <c r="P25" s="49"/>
      <c r="Q25" s="93"/>
      <c r="R25" s="162" t="s">
        <v>1861</v>
      </c>
      <c r="S25" s="162" t="s">
        <v>1861</v>
      </c>
      <c r="T25" s="159"/>
      <c r="U25" s="93"/>
      <c r="V25" s="91" t="s">
        <v>1451</v>
      </c>
      <c r="W25" s="91" t="s">
        <v>1457</v>
      </c>
      <c r="X25" s="173" t="s">
        <v>1450</v>
      </c>
      <c r="Y25" s="91" t="s">
        <v>1458</v>
      </c>
      <c r="Z25" s="91" t="s">
        <v>1452</v>
      </c>
      <c r="AA25" s="91" t="s">
        <v>1457</v>
      </c>
      <c r="AB25" s="173" t="s">
        <v>1450</v>
      </c>
      <c r="AC25" s="91" t="s">
        <v>1458</v>
      </c>
      <c r="AD25" s="91" t="s">
        <v>1457</v>
      </c>
      <c r="AE25" s="173" t="s">
        <v>1450</v>
      </c>
      <c r="AF25" s="91" t="s">
        <v>1458</v>
      </c>
    </row>
    <row r="26" spans="1:32" s="92" customFormat="1" ht="12.6">
      <c r="A26" s="93"/>
      <c r="B26" s="46" t="s">
        <v>232</v>
      </c>
      <c r="C26" s="46" t="s">
        <v>233</v>
      </c>
      <c r="D26" s="46" t="s">
        <v>13</v>
      </c>
      <c r="E26" s="47">
        <v>10</v>
      </c>
      <c r="F26" s="47"/>
      <c r="G26" s="46"/>
      <c r="H26" s="46"/>
      <c r="I26" s="47"/>
      <c r="J26" s="47"/>
      <c r="K26" s="47"/>
      <c r="L26" s="46" t="s">
        <v>234</v>
      </c>
      <c r="M26" s="46"/>
      <c r="N26" s="48" t="s">
        <v>232</v>
      </c>
      <c r="O26" s="49"/>
      <c r="P26" s="49"/>
      <c r="Q26" s="93"/>
      <c r="R26" s="162" t="s">
        <v>136</v>
      </c>
      <c r="S26" s="162" t="s">
        <v>136</v>
      </c>
      <c r="T26" s="159"/>
      <c r="U26" s="93"/>
      <c r="V26" s="225" t="s">
        <v>344</v>
      </c>
      <c r="W26" s="226"/>
      <c r="X26" s="226"/>
      <c r="Y26" s="227"/>
      <c r="Z26" s="120" t="s">
        <v>344</v>
      </c>
      <c r="AA26" s="120" t="s">
        <v>344</v>
      </c>
      <c r="AB26" s="120"/>
      <c r="AC26" s="120"/>
      <c r="AD26" s="120" t="s">
        <v>344</v>
      </c>
      <c r="AE26" s="120"/>
      <c r="AF26" s="120"/>
    </row>
    <row r="27" spans="1:32" s="92" customFormat="1" ht="32.4">
      <c r="A27" s="93"/>
      <c r="B27" s="46" t="s">
        <v>187</v>
      </c>
      <c r="C27" s="46" t="s">
        <v>188</v>
      </c>
      <c r="D27" s="46" t="s">
        <v>13</v>
      </c>
      <c r="E27" s="47">
        <v>40</v>
      </c>
      <c r="F27" s="47"/>
      <c r="G27" s="46"/>
      <c r="H27" s="46"/>
      <c r="I27" s="47"/>
      <c r="J27" s="47"/>
      <c r="K27" s="47"/>
      <c r="L27" s="46" t="s">
        <v>177</v>
      </c>
      <c r="M27" s="46" t="s">
        <v>14</v>
      </c>
      <c r="N27" s="49" t="s">
        <v>345</v>
      </c>
      <c r="O27" s="94" t="s">
        <v>392</v>
      </c>
      <c r="P27" s="49" t="s">
        <v>389</v>
      </c>
      <c r="Q27" s="93"/>
      <c r="R27" s="162" t="s">
        <v>1861</v>
      </c>
      <c r="S27" s="162" t="s">
        <v>1861</v>
      </c>
      <c r="T27" s="159"/>
      <c r="U27" s="93"/>
      <c r="V27" s="244" t="s">
        <v>1424</v>
      </c>
      <c r="W27" s="244"/>
      <c r="X27" s="244"/>
      <c r="Y27" s="244"/>
      <c r="Z27" s="91" t="s">
        <v>1425</v>
      </c>
      <c r="AA27" s="48" t="s">
        <v>1424</v>
      </c>
      <c r="AB27" s="48"/>
      <c r="AC27" s="48"/>
      <c r="AD27" s="48" t="s">
        <v>1424</v>
      </c>
      <c r="AE27" s="48"/>
      <c r="AF27" s="48"/>
    </row>
    <row r="28" spans="1:32" s="92" customFormat="1" ht="113.4">
      <c r="A28" s="93"/>
      <c r="B28" s="46" t="s">
        <v>235</v>
      </c>
      <c r="C28" s="46" t="s">
        <v>236</v>
      </c>
      <c r="D28" s="46" t="s">
        <v>13</v>
      </c>
      <c r="E28" s="47" t="s">
        <v>505</v>
      </c>
      <c r="F28" s="47"/>
      <c r="G28" s="46"/>
      <c r="H28" s="46"/>
      <c r="I28" s="47"/>
      <c r="J28" s="47"/>
      <c r="K28" s="47"/>
      <c r="L28" s="46" t="s">
        <v>237</v>
      </c>
      <c r="M28" s="46" t="s">
        <v>14</v>
      </c>
      <c r="N28" s="48" t="s">
        <v>235</v>
      </c>
      <c r="O28" s="49"/>
      <c r="P28" s="48" t="s">
        <v>394</v>
      </c>
      <c r="Q28" s="93"/>
      <c r="R28" s="162" t="s">
        <v>1861</v>
      </c>
      <c r="S28" s="162" t="s">
        <v>1864</v>
      </c>
      <c r="T28" s="159"/>
      <c r="U28" s="93"/>
      <c r="V28" s="91" t="s">
        <v>369</v>
      </c>
      <c r="W28" s="91" t="s">
        <v>369</v>
      </c>
      <c r="X28" s="91" t="s">
        <v>368</v>
      </c>
      <c r="Y28" s="91" t="s">
        <v>370</v>
      </c>
      <c r="Z28" s="91" t="s">
        <v>370</v>
      </c>
      <c r="AA28" s="91" t="s">
        <v>369</v>
      </c>
      <c r="AB28" s="91" t="s">
        <v>368</v>
      </c>
      <c r="AC28" s="91" t="s">
        <v>370</v>
      </c>
      <c r="AD28" s="91" t="s">
        <v>369</v>
      </c>
      <c r="AE28" s="91" t="s">
        <v>368</v>
      </c>
      <c r="AF28" s="91" t="s">
        <v>370</v>
      </c>
    </row>
    <row r="29" spans="1:32" s="92" customFormat="1" ht="63">
      <c r="A29" s="93"/>
      <c r="B29" s="46" t="s">
        <v>238</v>
      </c>
      <c r="C29" s="46" t="s">
        <v>239</v>
      </c>
      <c r="D29" s="46" t="s">
        <v>13</v>
      </c>
      <c r="E29" s="47" t="s">
        <v>505</v>
      </c>
      <c r="F29" s="47"/>
      <c r="G29" s="54"/>
      <c r="H29" s="46"/>
      <c r="I29" s="47"/>
      <c r="J29" s="47"/>
      <c r="K29" s="47"/>
      <c r="L29" s="46" t="s">
        <v>237</v>
      </c>
      <c r="M29" s="46" t="s">
        <v>14</v>
      </c>
      <c r="N29" s="49" t="s">
        <v>348</v>
      </c>
      <c r="O29" s="49"/>
      <c r="P29" s="48" t="s">
        <v>395</v>
      </c>
      <c r="Q29" s="93"/>
      <c r="R29" s="162" t="s">
        <v>1861</v>
      </c>
      <c r="S29" s="183" t="s">
        <v>136</v>
      </c>
      <c r="T29" s="159"/>
      <c r="U29" s="93"/>
      <c r="V29" s="228"/>
      <c r="W29" s="229"/>
      <c r="X29" s="229"/>
      <c r="Y29" s="230"/>
      <c r="Z29" s="174"/>
      <c r="AA29" s="174"/>
      <c r="AB29" s="174"/>
      <c r="AC29" s="174"/>
      <c r="AD29" s="174"/>
      <c r="AE29" s="174"/>
      <c r="AF29" s="174"/>
    </row>
    <row r="30" spans="1:32" s="92" customFormat="1" ht="25.2">
      <c r="A30" s="93"/>
      <c r="B30" s="46" t="s">
        <v>240</v>
      </c>
      <c r="C30" s="46" t="s">
        <v>241</v>
      </c>
      <c r="D30" s="46" t="s">
        <v>17</v>
      </c>
      <c r="E30" s="47">
        <v>8</v>
      </c>
      <c r="F30" s="47"/>
      <c r="G30" s="54"/>
      <c r="H30" s="46"/>
      <c r="I30" s="47"/>
      <c r="J30" s="47"/>
      <c r="K30" s="47"/>
      <c r="L30" s="46" t="s">
        <v>242</v>
      </c>
      <c r="M30" s="46" t="s">
        <v>14</v>
      </c>
      <c r="N30" s="49" t="s">
        <v>349</v>
      </c>
      <c r="O30" s="49"/>
      <c r="P30" s="49"/>
      <c r="Q30" s="93"/>
      <c r="R30" s="162" t="s">
        <v>1861</v>
      </c>
      <c r="S30" s="162" t="s">
        <v>1861</v>
      </c>
      <c r="T30" s="159"/>
      <c r="U30" s="93"/>
      <c r="V30" s="244" t="s">
        <v>1447</v>
      </c>
      <c r="W30" s="244"/>
      <c r="X30" s="244"/>
      <c r="Y30" s="244"/>
      <c r="Z30" s="91" t="s">
        <v>1447</v>
      </c>
      <c r="AA30" s="91" t="s">
        <v>1447</v>
      </c>
      <c r="AB30" s="91"/>
      <c r="AC30" s="91"/>
      <c r="AD30" s="91" t="s">
        <v>1447</v>
      </c>
      <c r="AE30" s="91"/>
      <c r="AF30" s="91"/>
    </row>
    <row r="31" spans="1:32" s="92" customFormat="1" ht="25.2">
      <c r="A31" s="93"/>
      <c r="B31" s="46" t="s">
        <v>1313</v>
      </c>
      <c r="C31" s="46" t="s">
        <v>1314</v>
      </c>
      <c r="D31" s="46" t="s">
        <v>47</v>
      </c>
      <c r="E31" s="47">
        <v>10</v>
      </c>
      <c r="F31" s="47"/>
      <c r="G31" s="46"/>
      <c r="H31" s="46"/>
      <c r="I31" s="47"/>
      <c r="J31" s="47"/>
      <c r="K31" s="47"/>
      <c r="L31" s="46" t="s">
        <v>1322</v>
      </c>
      <c r="M31" s="46" t="s">
        <v>14</v>
      </c>
      <c r="N31" s="49"/>
      <c r="O31" s="48" t="s">
        <v>1321</v>
      </c>
      <c r="P31" s="48" t="s">
        <v>1407</v>
      </c>
      <c r="Q31" s="93"/>
      <c r="R31" s="162" t="s">
        <v>1861</v>
      </c>
      <c r="S31" s="162" t="s">
        <v>1861</v>
      </c>
      <c r="T31" s="159"/>
      <c r="U31" s="93"/>
      <c r="V31" s="248" t="s">
        <v>1313</v>
      </c>
      <c r="W31" s="249"/>
      <c r="X31" s="249"/>
      <c r="Y31" s="250"/>
      <c r="Z31" s="175" t="s">
        <v>1313</v>
      </c>
      <c r="AA31" s="175" t="s">
        <v>1313</v>
      </c>
      <c r="AB31" s="175"/>
      <c r="AC31" s="175"/>
      <c r="AD31" s="176" t="s">
        <v>1313</v>
      </c>
      <c r="AE31" s="175"/>
      <c r="AF31" s="175"/>
    </row>
    <row r="32" spans="1:32" s="92" customFormat="1" ht="12.6">
      <c r="A32" s="93"/>
      <c r="B32" s="46" t="s">
        <v>243</v>
      </c>
      <c r="C32" s="46" t="s">
        <v>244</v>
      </c>
      <c r="D32" s="46" t="s">
        <v>13</v>
      </c>
      <c r="E32" s="47">
        <v>20</v>
      </c>
      <c r="F32" s="47"/>
      <c r="G32" s="46"/>
      <c r="H32" s="46"/>
      <c r="I32" s="47"/>
      <c r="J32" s="47"/>
      <c r="K32" s="47"/>
      <c r="L32" s="46" t="s">
        <v>245</v>
      </c>
      <c r="M32" s="46" t="s">
        <v>14</v>
      </c>
      <c r="N32" s="49" t="s">
        <v>243</v>
      </c>
      <c r="O32" s="49"/>
      <c r="P32" s="49"/>
      <c r="Q32" s="93"/>
      <c r="R32" s="162" t="s">
        <v>1861</v>
      </c>
      <c r="S32" s="162" t="s">
        <v>1864</v>
      </c>
      <c r="T32" s="159"/>
      <c r="U32" s="93"/>
      <c r="V32" s="231" t="s">
        <v>1459</v>
      </c>
      <c r="W32" s="232"/>
      <c r="X32" s="232"/>
      <c r="Y32" s="232"/>
      <c r="Z32" s="120" t="s">
        <v>344</v>
      </c>
      <c r="AA32" s="49" t="s">
        <v>1875</v>
      </c>
      <c r="AB32" s="49"/>
      <c r="AC32" s="49"/>
      <c r="AD32" s="49" t="s">
        <v>1875</v>
      </c>
      <c r="AE32" s="49"/>
      <c r="AF32" s="49"/>
    </row>
    <row r="33" spans="1:32" s="92" customFormat="1" ht="12.6">
      <c r="A33" s="93"/>
      <c r="B33" s="46" t="s">
        <v>246</v>
      </c>
      <c r="C33" s="46" t="s">
        <v>247</v>
      </c>
      <c r="D33" s="46" t="s">
        <v>13</v>
      </c>
      <c r="E33" s="47">
        <v>20</v>
      </c>
      <c r="F33" s="47"/>
      <c r="G33" s="46"/>
      <c r="H33" s="46"/>
      <c r="I33" s="47"/>
      <c r="J33" s="47"/>
      <c r="K33" s="47"/>
      <c r="L33" s="46" t="s">
        <v>245</v>
      </c>
      <c r="M33" s="46" t="s">
        <v>14</v>
      </c>
      <c r="N33" s="49" t="s">
        <v>246</v>
      </c>
      <c r="O33" s="49"/>
      <c r="P33" s="49"/>
      <c r="Q33" s="93"/>
      <c r="R33" s="162" t="s">
        <v>1861</v>
      </c>
      <c r="S33" s="162" t="s">
        <v>1864</v>
      </c>
      <c r="T33" s="159"/>
      <c r="U33" s="93"/>
      <c r="V33" s="231" t="s">
        <v>1460</v>
      </c>
      <c r="W33" s="232"/>
      <c r="X33" s="232"/>
      <c r="Y33" s="232"/>
      <c r="Z33" s="120" t="s">
        <v>344</v>
      </c>
      <c r="AA33" s="49" t="s">
        <v>1876</v>
      </c>
      <c r="AB33" s="49"/>
      <c r="AC33" s="49"/>
      <c r="AD33" s="49" t="s">
        <v>1876</v>
      </c>
      <c r="AE33" s="49"/>
      <c r="AF33" s="49"/>
    </row>
    <row r="34" spans="1:32" s="92" customFormat="1" ht="50.4">
      <c r="A34" s="93"/>
      <c r="B34" s="46" t="s">
        <v>252</v>
      </c>
      <c r="C34" s="46" t="s">
        <v>253</v>
      </c>
      <c r="D34" s="46" t="s">
        <v>193</v>
      </c>
      <c r="E34" s="47">
        <v>100</v>
      </c>
      <c r="F34" s="47"/>
      <c r="G34" s="46"/>
      <c r="H34" s="46"/>
      <c r="I34" s="47"/>
      <c r="J34" s="47"/>
      <c r="K34" s="47"/>
      <c r="L34" s="46" t="s">
        <v>254</v>
      </c>
      <c r="M34" s="46" t="s">
        <v>14</v>
      </c>
      <c r="N34" s="49" t="s">
        <v>350</v>
      </c>
      <c r="O34" s="48"/>
      <c r="P34" s="49"/>
      <c r="Q34" s="93"/>
      <c r="R34" s="162" t="s">
        <v>1861</v>
      </c>
      <c r="S34" s="162" t="s">
        <v>1864</v>
      </c>
      <c r="T34" s="159"/>
      <c r="U34" s="93"/>
      <c r="V34" s="91" t="s">
        <v>1442</v>
      </c>
      <c r="W34" s="91" t="s">
        <v>373</v>
      </c>
      <c r="X34" s="91" t="s">
        <v>373</v>
      </c>
      <c r="Y34" s="120" t="s">
        <v>344</v>
      </c>
      <c r="Z34" s="49" t="s">
        <v>1436</v>
      </c>
      <c r="AA34" s="184" t="s">
        <v>1898</v>
      </c>
      <c r="AB34" s="184" t="s">
        <v>1899</v>
      </c>
      <c r="AC34" s="120" t="s">
        <v>344</v>
      </c>
      <c r="AD34" s="184" t="s">
        <v>1899</v>
      </c>
      <c r="AE34" s="184" t="s">
        <v>1899</v>
      </c>
      <c r="AF34" s="120" t="s">
        <v>344</v>
      </c>
    </row>
    <row r="35" spans="1:32" s="92" customFormat="1" ht="63">
      <c r="A35" s="93"/>
      <c r="B35" s="46" t="s">
        <v>255</v>
      </c>
      <c r="C35" s="46" t="s">
        <v>256</v>
      </c>
      <c r="D35" s="46" t="s">
        <v>193</v>
      </c>
      <c r="E35" s="47">
        <v>100</v>
      </c>
      <c r="F35" s="47"/>
      <c r="G35" s="46"/>
      <c r="H35" s="46"/>
      <c r="I35" s="47"/>
      <c r="J35" s="47"/>
      <c r="K35" s="47"/>
      <c r="L35" s="46" t="s">
        <v>254</v>
      </c>
      <c r="M35" s="46" t="s">
        <v>14</v>
      </c>
      <c r="N35" s="49" t="s">
        <v>351</v>
      </c>
      <c r="O35" s="48"/>
      <c r="P35" s="49"/>
      <c r="Q35" s="93"/>
      <c r="R35" s="162" t="s">
        <v>1861</v>
      </c>
      <c r="S35" s="162" t="s">
        <v>1864</v>
      </c>
      <c r="T35" s="159"/>
      <c r="U35" s="93"/>
      <c r="V35" s="177" t="s">
        <v>375</v>
      </c>
      <c r="W35" s="177" t="s">
        <v>375</v>
      </c>
      <c r="X35" s="91" t="s">
        <v>1885</v>
      </c>
      <c r="Y35" s="120" t="s">
        <v>344</v>
      </c>
      <c r="Z35" s="120" t="s">
        <v>344</v>
      </c>
      <c r="AA35" s="120" t="s">
        <v>344</v>
      </c>
      <c r="AB35" s="91" t="s">
        <v>1885</v>
      </c>
      <c r="AC35" s="120" t="s">
        <v>344</v>
      </c>
      <c r="AD35" s="120" t="s">
        <v>344</v>
      </c>
      <c r="AE35" s="91" t="s">
        <v>1885</v>
      </c>
      <c r="AF35" s="120" t="s">
        <v>344</v>
      </c>
    </row>
    <row r="36" spans="1:32" s="92" customFormat="1" ht="63">
      <c r="A36" s="93"/>
      <c r="B36" s="46" t="s">
        <v>257</v>
      </c>
      <c r="C36" s="46" t="s">
        <v>258</v>
      </c>
      <c r="D36" s="46" t="s">
        <v>193</v>
      </c>
      <c r="E36" s="47">
        <v>100</v>
      </c>
      <c r="F36" s="47"/>
      <c r="G36" s="46"/>
      <c r="H36" s="46"/>
      <c r="I36" s="47"/>
      <c r="J36" s="47"/>
      <c r="K36" s="47"/>
      <c r="L36" s="46" t="s">
        <v>254</v>
      </c>
      <c r="M36" s="46" t="s">
        <v>14</v>
      </c>
      <c r="N36" s="49" t="s">
        <v>352</v>
      </c>
      <c r="O36" s="48"/>
      <c r="P36" s="49"/>
      <c r="Q36" s="93"/>
      <c r="R36" s="162" t="s">
        <v>1861</v>
      </c>
      <c r="S36" s="162" t="s">
        <v>1864</v>
      </c>
      <c r="T36" s="159"/>
      <c r="U36" s="93"/>
      <c r="V36" s="177" t="s">
        <v>377</v>
      </c>
      <c r="W36" s="177" t="s">
        <v>377</v>
      </c>
      <c r="X36" s="91" t="s">
        <v>1871</v>
      </c>
      <c r="Y36" s="120" t="s">
        <v>344</v>
      </c>
      <c r="Z36" s="120" t="s">
        <v>344</v>
      </c>
      <c r="AA36" s="120" t="s">
        <v>344</v>
      </c>
      <c r="AB36" s="91" t="s">
        <v>1871</v>
      </c>
      <c r="AC36" s="120" t="s">
        <v>344</v>
      </c>
      <c r="AD36" s="120" t="s">
        <v>344</v>
      </c>
      <c r="AE36" s="91" t="s">
        <v>1871</v>
      </c>
      <c r="AF36" s="120" t="s">
        <v>344</v>
      </c>
    </row>
    <row r="37" spans="1:32" s="92" customFormat="1" ht="214.2">
      <c r="A37" s="93"/>
      <c r="B37" s="46" t="s">
        <v>259</v>
      </c>
      <c r="C37" s="46" t="s">
        <v>260</v>
      </c>
      <c r="D37" s="46" t="s">
        <v>193</v>
      </c>
      <c r="E37" s="47">
        <v>100</v>
      </c>
      <c r="F37" s="47"/>
      <c r="G37" s="46"/>
      <c r="H37" s="46"/>
      <c r="I37" s="47"/>
      <c r="J37" s="47"/>
      <c r="K37" s="47"/>
      <c r="L37" s="46"/>
      <c r="M37" s="46" t="s">
        <v>14</v>
      </c>
      <c r="N37" s="49" t="s">
        <v>353</v>
      </c>
      <c r="O37" s="48"/>
      <c r="P37" s="49"/>
      <c r="Q37" s="93"/>
      <c r="R37" s="162" t="s">
        <v>1861</v>
      </c>
      <c r="S37" s="162" t="s">
        <v>1864</v>
      </c>
      <c r="T37" s="159"/>
      <c r="U37" s="93"/>
      <c r="V37" s="177" t="s">
        <v>1461</v>
      </c>
      <c r="W37" s="177" t="s">
        <v>1461</v>
      </c>
      <c r="X37" s="91" t="s">
        <v>1886</v>
      </c>
      <c r="Y37" s="120" t="s">
        <v>344</v>
      </c>
      <c r="Z37" s="120" t="s">
        <v>344</v>
      </c>
      <c r="AA37" s="120" t="s">
        <v>344</v>
      </c>
      <c r="AB37" s="91" t="s">
        <v>1886</v>
      </c>
      <c r="AC37" s="120" t="s">
        <v>344</v>
      </c>
      <c r="AD37" s="120" t="s">
        <v>344</v>
      </c>
      <c r="AE37" s="91" t="s">
        <v>1886</v>
      </c>
      <c r="AF37" s="120" t="s">
        <v>344</v>
      </c>
    </row>
    <row r="38" spans="1:32" s="92" customFormat="1" ht="37.799999999999997">
      <c r="A38" s="93"/>
      <c r="B38" s="46" t="s">
        <v>261</v>
      </c>
      <c r="C38" s="46" t="s">
        <v>262</v>
      </c>
      <c r="D38" s="46" t="s">
        <v>193</v>
      </c>
      <c r="E38" s="47">
        <v>100</v>
      </c>
      <c r="F38" s="47"/>
      <c r="G38" s="46"/>
      <c r="H38" s="46"/>
      <c r="I38" s="47"/>
      <c r="J38" s="47"/>
      <c r="K38" s="47"/>
      <c r="L38" s="46"/>
      <c r="M38" s="46" t="s">
        <v>14</v>
      </c>
      <c r="N38" s="49"/>
      <c r="O38" s="48"/>
      <c r="P38" s="49"/>
      <c r="Q38" s="93"/>
      <c r="R38" s="162" t="s">
        <v>1861</v>
      </c>
      <c r="S38" s="162" t="s">
        <v>136</v>
      </c>
      <c r="T38" s="159"/>
      <c r="U38" s="93"/>
      <c r="V38" s="178" t="s">
        <v>378</v>
      </c>
      <c r="W38" s="178" t="s">
        <v>378</v>
      </c>
      <c r="X38" s="177" t="s">
        <v>1320</v>
      </c>
      <c r="Y38" s="120" t="s">
        <v>344</v>
      </c>
      <c r="Z38" s="120" t="s">
        <v>344</v>
      </c>
      <c r="AA38" s="120" t="s">
        <v>344</v>
      </c>
      <c r="AB38" s="177" t="s">
        <v>1320</v>
      </c>
      <c r="AC38" s="120" t="s">
        <v>344</v>
      </c>
      <c r="AD38" s="120" t="s">
        <v>344</v>
      </c>
      <c r="AE38" s="177" t="s">
        <v>1320</v>
      </c>
      <c r="AF38" s="120" t="s">
        <v>344</v>
      </c>
    </row>
    <row r="39" spans="1:32" s="92" customFormat="1" ht="180">
      <c r="A39" s="93"/>
      <c r="B39" s="46" t="s">
        <v>263</v>
      </c>
      <c r="C39" s="46" t="s">
        <v>264</v>
      </c>
      <c r="D39" s="46" t="s">
        <v>193</v>
      </c>
      <c r="E39" s="47">
        <v>100</v>
      </c>
      <c r="F39" s="47"/>
      <c r="G39" s="46"/>
      <c r="H39" s="46"/>
      <c r="I39" s="47"/>
      <c r="J39" s="47"/>
      <c r="K39" s="47"/>
      <c r="L39" s="46" t="s">
        <v>254</v>
      </c>
      <c r="M39" s="46" t="s">
        <v>14</v>
      </c>
      <c r="N39" s="48" t="s">
        <v>1358</v>
      </c>
      <c r="O39" s="48" t="s">
        <v>1328</v>
      </c>
      <c r="P39" s="49"/>
      <c r="Q39" s="93"/>
      <c r="R39" s="162" t="s">
        <v>1861</v>
      </c>
      <c r="S39" s="162" t="s">
        <v>1864</v>
      </c>
      <c r="T39" s="159"/>
      <c r="U39" s="93"/>
      <c r="V39" s="91" t="s">
        <v>379</v>
      </c>
      <c r="W39" s="91" t="s">
        <v>379</v>
      </c>
      <c r="X39" s="120" t="s">
        <v>344</v>
      </c>
      <c r="Y39" s="120" t="s">
        <v>344</v>
      </c>
      <c r="Z39" s="120" t="s">
        <v>344</v>
      </c>
      <c r="AA39" s="223" t="s">
        <v>1957</v>
      </c>
      <c r="AB39" s="120" t="s">
        <v>344</v>
      </c>
      <c r="AC39" s="120" t="s">
        <v>344</v>
      </c>
      <c r="AD39" s="223" t="s">
        <v>1957</v>
      </c>
      <c r="AE39" s="120" t="s">
        <v>344</v>
      </c>
      <c r="AF39" s="120" t="s">
        <v>344</v>
      </c>
    </row>
    <row r="40" spans="1:32" s="92" customFormat="1" ht="37.799999999999997">
      <c r="A40" s="93"/>
      <c r="B40" s="46" t="s">
        <v>265</v>
      </c>
      <c r="C40" s="46" t="s">
        <v>266</v>
      </c>
      <c r="D40" s="46" t="s">
        <v>193</v>
      </c>
      <c r="E40" s="47">
        <v>100</v>
      </c>
      <c r="F40" s="47"/>
      <c r="G40" s="46"/>
      <c r="H40" s="46"/>
      <c r="I40" s="47"/>
      <c r="J40" s="47"/>
      <c r="K40" s="47"/>
      <c r="L40" s="46" t="s">
        <v>254</v>
      </c>
      <c r="M40" s="46" t="s">
        <v>14</v>
      </c>
      <c r="N40" s="49"/>
      <c r="O40" s="48"/>
      <c r="P40" s="49"/>
      <c r="Q40" s="93"/>
      <c r="R40" s="162" t="s">
        <v>1861</v>
      </c>
      <c r="S40" s="162" t="s">
        <v>1864</v>
      </c>
      <c r="T40" s="159"/>
      <c r="U40" s="93"/>
      <c r="V40" s="91" t="s">
        <v>380</v>
      </c>
      <c r="W40" s="91" t="s">
        <v>380</v>
      </c>
      <c r="X40" s="120" t="s">
        <v>344</v>
      </c>
      <c r="Y40" s="120" t="s">
        <v>344</v>
      </c>
      <c r="Z40" s="120" t="s">
        <v>344</v>
      </c>
      <c r="AA40" s="91" t="s">
        <v>380</v>
      </c>
      <c r="AB40" s="120" t="s">
        <v>344</v>
      </c>
      <c r="AC40" s="120" t="s">
        <v>344</v>
      </c>
      <c r="AD40" s="91" t="s">
        <v>1883</v>
      </c>
      <c r="AE40" s="120" t="s">
        <v>344</v>
      </c>
      <c r="AF40" s="120" t="s">
        <v>344</v>
      </c>
    </row>
    <row r="41" spans="1:32" s="92" customFormat="1" ht="12.6">
      <c r="A41" s="93"/>
      <c r="B41" s="46" t="s">
        <v>267</v>
      </c>
      <c r="C41" s="46" t="s">
        <v>268</v>
      </c>
      <c r="D41" s="46" t="s">
        <v>193</v>
      </c>
      <c r="E41" s="47">
        <v>100</v>
      </c>
      <c r="F41" s="47"/>
      <c r="G41" s="46"/>
      <c r="H41" s="46"/>
      <c r="I41" s="47"/>
      <c r="J41" s="47"/>
      <c r="K41" s="47"/>
      <c r="L41" s="46" t="s">
        <v>254</v>
      </c>
      <c r="M41" s="46" t="s">
        <v>14</v>
      </c>
      <c r="N41" s="49" t="s">
        <v>344</v>
      </c>
      <c r="O41" s="48"/>
      <c r="P41" s="49"/>
      <c r="Q41" s="93"/>
      <c r="R41" s="162" t="s">
        <v>1861</v>
      </c>
      <c r="S41" s="162" t="s">
        <v>1864</v>
      </c>
      <c r="T41" s="159"/>
      <c r="U41" s="93"/>
      <c r="V41" s="91" t="s">
        <v>381</v>
      </c>
      <c r="W41" s="91" t="s">
        <v>381</v>
      </c>
      <c r="X41" s="120" t="s">
        <v>344</v>
      </c>
      <c r="Y41" s="120" t="s">
        <v>344</v>
      </c>
      <c r="Z41" s="120" t="s">
        <v>344</v>
      </c>
      <c r="AA41" s="91" t="s">
        <v>381</v>
      </c>
      <c r="AB41" s="120" t="s">
        <v>344</v>
      </c>
      <c r="AC41" s="120" t="s">
        <v>344</v>
      </c>
      <c r="AD41" s="91" t="s">
        <v>381</v>
      </c>
      <c r="AE41" s="120" t="s">
        <v>344</v>
      </c>
      <c r="AF41" s="120" t="s">
        <v>344</v>
      </c>
    </row>
    <row r="42" spans="1:32" s="92" customFormat="1" ht="63">
      <c r="A42" s="93"/>
      <c r="B42" s="46" t="s">
        <v>281</v>
      </c>
      <c r="C42" s="46" t="s">
        <v>282</v>
      </c>
      <c r="D42" s="46" t="s">
        <v>193</v>
      </c>
      <c r="E42" s="47">
        <v>100</v>
      </c>
      <c r="F42" s="47"/>
      <c r="G42" s="46"/>
      <c r="H42" s="46"/>
      <c r="I42" s="47"/>
      <c r="J42" s="47"/>
      <c r="K42" s="47"/>
      <c r="L42" s="46" t="s">
        <v>254</v>
      </c>
      <c r="M42" s="46" t="s">
        <v>14</v>
      </c>
      <c r="N42" s="49" t="s">
        <v>344</v>
      </c>
      <c r="O42" s="48"/>
      <c r="P42" s="49"/>
      <c r="Q42" s="93"/>
      <c r="R42" s="162" t="s">
        <v>1861</v>
      </c>
      <c r="S42" s="162" t="s">
        <v>1864</v>
      </c>
      <c r="T42" s="159"/>
      <c r="U42" s="93"/>
      <c r="V42" s="179" t="s">
        <v>344</v>
      </c>
      <c r="W42" s="179" t="s">
        <v>344</v>
      </c>
      <c r="X42" s="177" t="s">
        <v>382</v>
      </c>
      <c r="Y42" s="179" t="s">
        <v>344</v>
      </c>
      <c r="Z42" s="49" t="s">
        <v>1434</v>
      </c>
      <c r="AA42" s="179" t="s">
        <v>344</v>
      </c>
      <c r="AB42" s="177" t="s">
        <v>382</v>
      </c>
      <c r="AC42" s="179" t="s">
        <v>344</v>
      </c>
      <c r="AD42" s="179" t="s">
        <v>344</v>
      </c>
      <c r="AE42" s="177" t="s">
        <v>382</v>
      </c>
      <c r="AF42" s="179" t="s">
        <v>344</v>
      </c>
    </row>
    <row r="43" spans="1:32" s="92" customFormat="1" ht="100.8">
      <c r="A43" s="93"/>
      <c r="B43" s="46" t="s">
        <v>283</v>
      </c>
      <c r="C43" s="46" t="s">
        <v>284</v>
      </c>
      <c r="D43" s="46" t="s">
        <v>193</v>
      </c>
      <c r="E43" s="47">
        <v>100</v>
      </c>
      <c r="F43" s="47"/>
      <c r="G43" s="46"/>
      <c r="H43" s="46"/>
      <c r="I43" s="47"/>
      <c r="J43" s="47"/>
      <c r="K43" s="47"/>
      <c r="L43" s="46" t="s">
        <v>254</v>
      </c>
      <c r="M43" s="46" t="s">
        <v>14</v>
      </c>
      <c r="N43" s="49" t="s">
        <v>344</v>
      </c>
      <c r="O43" s="48"/>
      <c r="P43" s="49"/>
      <c r="Q43" s="93"/>
      <c r="R43" s="162" t="s">
        <v>1861</v>
      </c>
      <c r="S43" s="162" t="s">
        <v>1864</v>
      </c>
      <c r="T43" s="159"/>
      <c r="U43" s="93"/>
      <c r="V43" s="91" t="s">
        <v>1887</v>
      </c>
      <c r="W43" s="91" t="s">
        <v>1887</v>
      </c>
      <c r="X43" s="91" t="s">
        <v>1888</v>
      </c>
      <c r="Y43" s="91" t="s">
        <v>1887</v>
      </c>
      <c r="Z43" s="49" t="s">
        <v>1435</v>
      </c>
      <c r="AA43" s="91" t="s">
        <v>1877</v>
      </c>
      <c r="AB43" s="91" t="s">
        <v>1888</v>
      </c>
      <c r="AC43" s="91" t="s">
        <v>1887</v>
      </c>
      <c r="AD43" s="91" t="s">
        <v>1878</v>
      </c>
      <c r="AE43" s="91" t="s">
        <v>1888</v>
      </c>
      <c r="AF43" s="91" t="s">
        <v>1887</v>
      </c>
    </row>
    <row r="44" spans="1:32" s="92" customFormat="1" ht="12.6">
      <c r="A44" s="93"/>
      <c r="B44" s="46" t="s">
        <v>285</v>
      </c>
      <c r="C44" s="46" t="s">
        <v>286</v>
      </c>
      <c r="D44" s="46" t="s">
        <v>193</v>
      </c>
      <c r="E44" s="47">
        <v>100</v>
      </c>
      <c r="F44" s="47"/>
      <c r="G44" s="46"/>
      <c r="H44" s="46"/>
      <c r="I44" s="47"/>
      <c r="J44" s="47"/>
      <c r="K44" s="47"/>
      <c r="L44" s="46" t="s">
        <v>254</v>
      </c>
      <c r="M44" s="46"/>
      <c r="N44" s="49" t="s">
        <v>344</v>
      </c>
      <c r="O44" s="48"/>
      <c r="P44" s="49"/>
      <c r="Q44" s="93"/>
      <c r="R44" s="162" t="s">
        <v>1861</v>
      </c>
      <c r="S44" s="162" t="s">
        <v>136</v>
      </c>
      <c r="T44" s="159"/>
      <c r="U44" s="93"/>
      <c r="V44" s="225" t="s">
        <v>344</v>
      </c>
      <c r="W44" s="226"/>
      <c r="X44" s="226"/>
      <c r="Y44" s="227"/>
      <c r="Z44" s="120" t="s">
        <v>344</v>
      </c>
      <c r="AA44" s="120" t="s">
        <v>344</v>
      </c>
      <c r="AB44" s="120"/>
      <c r="AC44" s="120"/>
      <c r="AD44" s="120" t="s">
        <v>344</v>
      </c>
      <c r="AE44" s="120"/>
      <c r="AF44" s="120"/>
    </row>
    <row r="45" spans="1:32" s="92" customFormat="1" ht="12.6">
      <c r="A45" s="93"/>
      <c r="B45" s="46" t="s">
        <v>269</v>
      </c>
      <c r="C45" s="46" t="s">
        <v>270</v>
      </c>
      <c r="D45" s="46" t="s">
        <v>193</v>
      </c>
      <c r="E45" s="47">
        <v>100</v>
      </c>
      <c r="F45" s="47"/>
      <c r="G45" s="46"/>
      <c r="H45" s="46"/>
      <c r="I45" s="47"/>
      <c r="J45" s="47"/>
      <c r="K45" s="47"/>
      <c r="L45" s="46" t="s">
        <v>254</v>
      </c>
      <c r="M45" s="46"/>
      <c r="N45" s="48"/>
      <c r="O45" s="48"/>
      <c r="P45" s="49"/>
      <c r="Q45" s="93"/>
      <c r="R45" s="162" t="s">
        <v>136</v>
      </c>
      <c r="S45" s="162" t="s">
        <v>136</v>
      </c>
      <c r="T45" s="159"/>
      <c r="U45" s="93"/>
      <c r="V45" s="225" t="s">
        <v>344</v>
      </c>
      <c r="W45" s="226"/>
      <c r="X45" s="226"/>
      <c r="Y45" s="227"/>
      <c r="Z45" s="120" t="s">
        <v>344</v>
      </c>
      <c r="AA45" s="120" t="s">
        <v>344</v>
      </c>
      <c r="AB45" s="120"/>
      <c r="AC45" s="120"/>
      <c r="AD45" s="120" t="s">
        <v>344</v>
      </c>
      <c r="AE45" s="120"/>
      <c r="AF45" s="120"/>
    </row>
    <row r="46" spans="1:32" s="92" customFormat="1" ht="12.6">
      <c r="A46" s="93"/>
      <c r="B46" s="46" t="s">
        <v>271</v>
      </c>
      <c r="C46" s="46" t="s">
        <v>272</v>
      </c>
      <c r="D46" s="46" t="s">
        <v>193</v>
      </c>
      <c r="E46" s="47">
        <v>100</v>
      </c>
      <c r="F46" s="47"/>
      <c r="G46" s="46"/>
      <c r="H46" s="46"/>
      <c r="I46" s="47"/>
      <c r="J46" s="47"/>
      <c r="K46" s="47"/>
      <c r="L46" s="46" t="s">
        <v>254</v>
      </c>
      <c r="M46" s="46"/>
      <c r="N46" s="49" t="s">
        <v>344</v>
      </c>
      <c r="O46" s="48"/>
      <c r="P46" s="49"/>
      <c r="Q46" s="93"/>
      <c r="R46" s="162" t="s">
        <v>136</v>
      </c>
      <c r="S46" s="162" t="s">
        <v>136</v>
      </c>
      <c r="T46" s="159"/>
      <c r="U46" s="93"/>
      <c r="V46" s="225" t="s">
        <v>344</v>
      </c>
      <c r="W46" s="226"/>
      <c r="X46" s="226"/>
      <c r="Y46" s="227"/>
      <c r="Z46" s="120" t="s">
        <v>344</v>
      </c>
      <c r="AA46" s="120" t="s">
        <v>344</v>
      </c>
      <c r="AB46" s="120"/>
      <c r="AC46" s="120"/>
      <c r="AD46" s="120" t="s">
        <v>344</v>
      </c>
      <c r="AE46" s="120"/>
      <c r="AF46" s="120"/>
    </row>
    <row r="47" spans="1:32" s="92" customFormat="1" ht="12.6">
      <c r="A47" s="93"/>
      <c r="B47" s="46" t="s">
        <v>273</v>
      </c>
      <c r="C47" s="46" t="s">
        <v>274</v>
      </c>
      <c r="D47" s="46" t="s">
        <v>193</v>
      </c>
      <c r="E47" s="47">
        <v>100</v>
      </c>
      <c r="F47" s="47"/>
      <c r="G47" s="46"/>
      <c r="H47" s="46"/>
      <c r="I47" s="47"/>
      <c r="J47" s="47"/>
      <c r="K47" s="47"/>
      <c r="L47" s="46" t="s">
        <v>254</v>
      </c>
      <c r="M47" s="46"/>
      <c r="N47" s="49" t="s">
        <v>344</v>
      </c>
      <c r="O47" s="48"/>
      <c r="P47" s="49"/>
      <c r="Q47" s="93"/>
      <c r="R47" s="162" t="s">
        <v>136</v>
      </c>
      <c r="S47" s="162" t="s">
        <v>136</v>
      </c>
      <c r="T47" s="159"/>
      <c r="U47" s="93"/>
      <c r="V47" s="225" t="s">
        <v>344</v>
      </c>
      <c r="W47" s="226"/>
      <c r="X47" s="226"/>
      <c r="Y47" s="227"/>
      <c r="Z47" s="120" t="s">
        <v>344</v>
      </c>
      <c r="AA47" s="120" t="s">
        <v>344</v>
      </c>
      <c r="AB47" s="120"/>
      <c r="AC47" s="120"/>
      <c r="AD47" s="120" t="s">
        <v>344</v>
      </c>
      <c r="AE47" s="120"/>
      <c r="AF47" s="120"/>
    </row>
    <row r="48" spans="1:32" s="92" customFormat="1" ht="12.6">
      <c r="A48" s="93"/>
      <c r="B48" s="46" t="s">
        <v>275</v>
      </c>
      <c r="C48" s="46" t="s">
        <v>276</v>
      </c>
      <c r="D48" s="46" t="s">
        <v>193</v>
      </c>
      <c r="E48" s="47">
        <v>100</v>
      </c>
      <c r="F48" s="47"/>
      <c r="G48" s="46"/>
      <c r="H48" s="46"/>
      <c r="I48" s="47"/>
      <c r="J48" s="47"/>
      <c r="K48" s="47"/>
      <c r="L48" s="46" t="s">
        <v>254</v>
      </c>
      <c r="M48" s="46"/>
      <c r="N48" s="49" t="s">
        <v>344</v>
      </c>
      <c r="O48" s="48"/>
      <c r="P48" s="49"/>
      <c r="Q48" s="93"/>
      <c r="R48" s="162" t="s">
        <v>136</v>
      </c>
      <c r="S48" s="162" t="s">
        <v>136</v>
      </c>
      <c r="T48" s="159"/>
      <c r="U48" s="93"/>
      <c r="V48" s="225" t="s">
        <v>344</v>
      </c>
      <c r="W48" s="226"/>
      <c r="X48" s="226"/>
      <c r="Y48" s="227"/>
      <c r="Z48" s="120" t="s">
        <v>344</v>
      </c>
      <c r="AA48" s="120" t="s">
        <v>344</v>
      </c>
      <c r="AB48" s="120"/>
      <c r="AC48" s="120"/>
      <c r="AD48" s="120" t="s">
        <v>344</v>
      </c>
      <c r="AE48" s="120"/>
      <c r="AF48" s="120"/>
    </row>
    <row r="49" spans="1:32" s="92" customFormat="1" ht="12.6">
      <c r="A49" s="93"/>
      <c r="B49" s="46" t="s">
        <v>277</v>
      </c>
      <c r="C49" s="46" t="s">
        <v>278</v>
      </c>
      <c r="D49" s="46" t="s">
        <v>193</v>
      </c>
      <c r="E49" s="47">
        <v>100</v>
      </c>
      <c r="F49" s="47"/>
      <c r="G49" s="46"/>
      <c r="H49" s="46"/>
      <c r="I49" s="47"/>
      <c r="J49" s="47"/>
      <c r="K49" s="47"/>
      <c r="L49" s="46" t="s">
        <v>254</v>
      </c>
      <c r="M49" s="46"/>
      <c r="N49" s="49" t="s">
        <v>344</v>
      </c>
      <c r="O49" s="48"/>
      <c r="P49" s="49"/>
      <c r="Q49" s="93"/>
      <c r="R49" s="162" t="s">
        <v>136</v>
      </c>
      <c r="S49" s="162" t="s">
        <v>136</v>
      </c>
      <c r="T49" s="159"/>
      <c r="U49" s="93"/>
      <c r="V49" s="225" t="s">
        <v>344</v>
      </c>
      <c r="W49" s="226"/>
      <c r="X49" s="226"/>
      <c r="Y49" s="227"/>
      <c r="Z49" s="120" t="s">
        <v>344</v>
      </c>
      <c r="AA49" s="120" t="s">
        <v>344</v>
      </c>
      <c r="AB49" s="120"/>
      <c r="AC49" s="120"/>
      <c r="AD49" s="120" t="s">
        <v>344</v>
      </c>
      <c r="AE49" s="120"/>
      <c r="AF49" s="120"/>
    </row>
    <row r="50" spans="1:32" s="92" customFormat="1" ht="12.6">
      <c r="A50" s="93"/>
      <c r="B50" s="46" t="s">
        <v>279</v>
      </c>
      <c r="C50" s="46" t="s">
        <v>280</v>
      </c>
      <c r="D50" s="46" t="s">
        <v>193</v>
      </c>
      <c r="E50" s="47">
        <v>100</v>
      </c>
      <c r="F50" s="47"/>
      <c r="G50" s="46"/>
      <c r="H50" s="46"/>
      <c r="I50" s="47"/>
      <c r="J50" s="47"/>
      <c r="K50" s="47"/>
      <c r="L50" s="46" t="s">
        <v>254</v>
      </c>
      <c r="M50" s="46"/>
      <c r="N50" s="49" t="s">
        <v>344</v>
      </c>
      <c r="O50" s="48"/>
      <c r="P50" s="49"/>
      <c r="Q50" s="93"/>
      <c r="R50" s="162" t="s">
        <v>136</v>
      </c>
      <c r="S50" s="162" t="s">
        <v>136</v>
      </c>
      <c r="T50" s="159"/>
      <c r="U50" s="93"/>
      <c r="V50" s="225" t="s">
        <v>344</v>
      </c>
      <c r="W50" s="226"/>
      <c r="X50" s="226"/>
      <c r="Y50" s="227"/>
      <c r="Z50" s="120" t="s">
        <v>344</v>
      </c>
      <c r="AA50" s="120" t="s">
        <v>344</v>
      </c>
      <c r="AB50" s="120"/>
      <c r="AC50" s="120"/>
      <c r="AD50" s="120" t="s">
        <v>344</v>
      </c>
      <c r="AE50" s="120"/>
      <c r="AF50" s="120"/>
    </row>
    <row r="51" spans="1:32" s="92" customFormat="1" ht="12.6">
      <c r="A51" s="93"/>
      <c r="B51" s="46" t="s">
        <v>1418</v>
      </c>
      <c r="C51" s="46" t="s">
        <v>1410</v>
      </c>
      <c r="D51" s="46" t="s">
        <v>17</v>
      </c>
      <c r="E51" s="47">
        <v>8</v>
      </c>
      <c r="F51" s="47"/>
      <c r="G51" s="46"/>
      <c r="H51" s="46"/>
      <c r="I51" s="47"/>
      <c r="J51" s="47"/>
      <c r="K51" s="47"/>
      <c r="L51" s="46"/>
      <c r="M51" s="46"/>
      <c r="N51" s="49" t="s">
        <v>344</v>
      </c>
      <c r="O51" s="48"/>
      <c r="P51" s="49"/>
      <c r="Q51" s="93"/>
      <c r="R51" s="162" t="s">
        <v>136</v>
      </c>
      <c r="S51" s="162" t="s">
        <v>136</v>
      </c>
      <c r="T51" s="159"/>
      <c r="U51" s="93"/>
      <c r="V51" s="225" t="s">
        <v>344</v>
      </c>
      <c r="W51" s="226"/>
      <c r="X51" s="226"/>
      <c r="Y51" s="227"/>
      <c r="Z51" s="120" t="s">
        <v>344</v>
      </c>
      <c r="AA51" s="120" t="s">
        <v>344</v>
      </c>
      <c r="AB51" s="120"/>
      <c r="AC51" s="120"/>
      <c r="AD51" s="120" t="s">
        <v>344</v>
      </c>
      <c r="AE51" s="120"/>
      <c r="AF51" s="120"/>
    </row>
    <row r="52" spans="1:32" s="92" customFormat="1" ht="12.6">
      <c r="A52" s="93"/>
      <c r="B52" s="46" t="s">
        <v>1419</v>
      </c>
      <c r="C52" s="46" t="s">
        <v>834</v>
      </c>
      <c r="D52" s="46" t="s">
        <v>17</v>
      </c>
      <c r="E52" s="47">
        <v>8</v>
      </c>
      <c r="F52" s="47"/>
      <c r="G52" s="46"/>
      <c r="H52" s="46"/>
      <c r="I52" s="47"/>
      <c r="J52" s="47"/>
      <c r="K52" s="47"/>
      <c r="L52" s="46"/>
      <c r="M52" s="46"/>
      <c r="N52" s="49" t="s">
        <v>344</v>
      </c>
      <c r="O52" s="48"/>
      <c r="P52" s="49"/>
      <c r="Q52" s="93"/>
      <c r="R52" s="162" t="s">
        <v>136</v>
      </c>
      <c r="S52" s="162" t="s">
        <v>136</v>
      </c>
      <c r="T52" s="159"/>
      <c r="U52" s="93"/>
      <c r="V52" s="225" t="s">
        <v>344</v>
      </c>
      <c r="W52" s="226"/>
      <c r="X52" s="226"/>
      <c r="Y52" s="227"/>
      <c r="Z52" s="120" t="s">
        <v>344</v>
      </c>
      <c r="AA52" s="120" t="s">
        <v>344</v>
      </c>
      <c r="AB52" s="120"/>
      <c r="AC52" s="120"/>
      <c r="AD52" s="120" t="s">
        <v>344</v>
      </c>
      <c r="AE52" s="120"/>
      <c r="AF52" s="120"/>
    </row>
    <row r="53" spans="1:32" s="92" customFormat="1" ht="12.6">
      <c r="A53" s="93"/>
      <c r="B53" s="46" t="s">
        <v>1420</v>
      </c>
      <c r="C53" s="46" t="s">
        <v>836</v>
      </c>
      <c r="D53" s="46" t="s">
        <v>17</v>
      </c>
      <c r="E53" s="47">
        <v>8</v>
      </c>
      <c r="F53" s="47"/>
      <c r="G53" s="46"/>
      <c r="H53" s="46"/>
      <c r="I53" s="47"/>
      <c r="J53" s="47"/>
      <c r="K53" s="47"/>
      <c r="L53" s="46"/>
      <c r="M53" s="46"/>
      <c r="N53" s="49" t="s">
        <v>344</v>
      </c>
      <c r="O53" s="48"/>
      <c r="P53" s="49"/>
      <c r="Q53" s="93"/>
      <c r="R53" s="162" t="s">
        <v>136</v>
      </c>
      <c r="S53" s="162" t="s">
        <v>136</v>
      </c>
      <c r="T53" s="159"/>
      <c r="U53" s="93"/>
      <c r="V53" s="225" t="s">
        <v>344</v>
      </c>
      <c r="W53" s="226"/>
      <c r="X53" s="226"/>
      <c r="Y53" s="227"/>
      <c r="Z53" s="120" t="s">
        <v>344</v>
      </c>
      <c r="AA53" s="120" t="s">
        <v>344</v>
      </c>
      <c r="AB53" s="120"/>
      <c r="AC53" s="120"/>
      <c r="AD53" s="120" t="s">
        <v>344</v>
      </c>
      <c r="AE53" s="120"/>
      <c r="AF53" s="120"/>
    </row>
    <row r="54" spans="1:32" s="92" customFormat="1" ht="88.2">
      <c r="A54" s="93"/>
      <c r="B54" s="46" t="s">
        <v>330</v>
      </c>
      <c r="C54" s="46" t="s">
        <v>331</v>
      </c>
      <c r="D54" s="135" t="s">
        <v>13</v>
      </c>
      <c r="E54" s="47" t="s">
        <v>505</v>
      </c>
      <c r="F54" s="47"/>
      <c r="G54" s="46"/>
      <c r="H54" s="46"/>
      <c r="I54" s="47"/>
      <c r="J54" s="47"/>
      <c r="K54" s="47"/>
      <c r="L54" s="46" t="s">
        <v>204</v>
      </c>
      <c r="M54" s="46"/>
      <c r="N54" s="49"/>
      <c r="O54" s="48"/>
      <c r="P54" s="49"/>
      <c r="Q54" s="93"/>
      <c r="R54" s="162" t="s">
        <v>1860</v>
      </c>
      <c r="S54" s="162" t="s">
        <v>136</v>
      </c>
      <c r="T54" s="159"/>
      <c r="U54" s="93"/>
      <c r="V54" s="179" t="s">
        <v>1889</v>
      </c>
      <c r="W54" s="179" t="s">
        <v>1889</v>
      </c>
      <c r="X54" s="177" t="s">
        <v>1426</v>
      </c>
      <c r="Y54" s="120" t="s">
        <v>344</v>
      </c>
      <c r="Z54" s="120" t="s">
        <v>344</v>
      </c>
      <c r="AA54" s="120" t="s">
        <v>344</v>
      </c>
      <c r="AB54" s="177" t="s">
        <v>1426</v>
      </c>
      <c r="AC54" s="120" t="s">
        <v>344</v>
      </c>
      <c r="AD54" s="120" t="s">
        <v>344</v>
      </c>
      <c r="AE54" s="177" t="s">
        <v>1426</v>
      </c>
      <c r="AF54" s="120" t="s">
        <v>344</v>
      </c>
    </row>
    <row r="55" spans="1:32" s="92" customFormat="1" ht="37.799999999999997">
      <c r="A55" s="93"/>
      <c r="B55" s="46" t="s">
        <v>332</v>
      </c>
      <c r="C55" s="46" t="s">
        <v>333</v>
      </c>
      <c r="D55" s="135" t="s">
        <v>13</v>
      </c>
      <c r="E55" s="47" t="s">
        <v>505</v>
      </c>
      <c r="F55" s="47"/>
      <c r="G55" s="46"/>
      <c r="H55" s="46"/>
      <c r="I55" s="47"/>
      <c r="J55" s="47"/>
      <c r="K55" s="47"/>
      <c r="L55" s="46" t="s">
        <v>204</v>
      </c>
      <c r="M55" s="46"/>
      <c r="N55" s="49"/>
      <c r="O55" s="48"/>
      <c r="P55" s="49"/>
      <c r="Q55" s="93"/>
      <c r="R55" s="162" t="s">
        <v>1860</v>
      </c>
      <c r="S55" s="162" t="s">
        <v>136</v>
      </c>
      <c r="T55" s="159"/>
      <c r="U55" s="93"/>
      <c r="V55" s="177" t="s">
        <v>385</v>
      </c>
      <c r="W55" s="177" t="s">
        <v>385</v>
      </c>
      <c r="X55" s="178" t="s">
        <v>384</v>
      </c>
      <c r="Y55" s="120" t="s">
        <v>344</v>
      </c>
      <c r="Z55" s="120" t="s">
        <v>344</v>
      </c>
      <c r="AA55" s="120" t="s">
        <v>344</v>
      </c>
      <c r="AB55" s="178" t="s">
        <v>384</v>
      </c>
      <c r="AC55" s="120" t="s">
        <v>344</v>
      </c>
      <c r="AD55" s="120" t="s">
        <v>344</v>
      </c>
      <c r="AE55" s="178" t="s">
        <v>384</v>
      </c>
      <c r="AF55" s="120" t="s">
        <v>344</v>
      </c>
    </row>
    <row r="56" spans="1:32" s="92" customFormat="1" ht="12.6">
      <c r="A56" s="93"/>
      <c r="B56" s="46" t="s">
        <v>334</v>
      </c>
      <c r="C56" s="46" t="s">
        <v>335</v>
      </c>
      <c r="D56" s="135" t="s">
        <v>13</v>
      </c>
      <c r="E56" s="47" t="s">
        <v>505</v>
      </c>
      <c r="F56" s="47"/>
      <c r="G56" s="46"/>
      <c r="H56" s="46"/>
      <c r="I56" s="47"/>
      <c r="J56" s="47"/>
      <c r="K56" s="47"/>
      <c r="L56" s="46" t="s">
        <v>204</v>
      </c>
      <c r="M56" s="46"/>
      <c r="N56" s="49"/>
      <c r="O56" s="48"/>
      <c r="P56" s="49"/>
      <c r="Q56" s="93"/>
      <c r="R56" s="162" t="s">
        <v>1861</v>
      </c>
      <c r="S56" s="162" t="s">
        <v>1864</v>
      </c>
      <c r="T56" s="159"/>
      <c r="U56" s="93"/>
      <c r="V56" s="174" t="s">
        <v>386</v>
      </c>
      <c r="W56" s="174" t="s">
        <v>386</v>
      </c>
      <c r="X56" s="120" t="s">
        <v>344</v>
      </c>
      <c r="Y56" s="120" t="s">
        <v>344</v>
      </c>
      <c r="Z56" s="120" t="s">
        <v>344</v>
      </c>
      <c r="AA56" s="174" t="s">
        <v>386</v>
      </c>
      <c r="AB56" s="120" t="s">
        <v>344</v>
      </c>
      <c r="AC56" s="120" t="s">
        <v>344</v>
      </c>
      <c r="AD56" s="174" t="s">
        <v>386</v>
      </c>
      <c r="AE56" s="120" t="s">
        <v>344</v>
      </c>
      <c r="AF56" s="120" t="s">
        <v>344</v>
      </c>
    </row>
    <row r="57" spans="1:32" s="92" customFormat="1" ht="12.6">
      <c r="A57" s="93"/>
      <c r="B57" s="46" t="s">
        <v>336</v>
      </c>
      <c r="C57" s="46" t="s">
        <v>337</v>
      </c>
      <c r="D57" s="135" t="s">
        <v>13</v>
      </c>
      <c r="E57" s="47" t="s">
        <v>505</v>
      </c>
      <c r="F57" s="47"/>
      <c r="G57" s="46"/>
      <c r="H57" s="46"/>
      <c r="I57" s="47"/>
      <c r="J57" s="47"/>
      <c r="K57" s="47"/>
      <c r="L57" s="46" t="s">
        <v>204</v>
      </c>
      <c r="M57" s="46"/>
      <c r="N57" s="49"/>
      <c r="O57" s="48"/>
      <c r="P57" s="49"/>
      <c r="Q57" s="93"/>
      <c r="R57" s="162" t="s">
        <v>1861</v>
      </c>
      <c r="S57" s="162" t="s">
        <v>1864</v>
      </c>
      <c r="T57" s="159"/>
      <c r="U57" s="93"/>
      <c r="V57" s="174" t="s">
        <v>387</v>
      </c>
      <c r="W57" s="174" t="s">
        <v>387</v>
      </c>
      <c r="X57" s="120" t="s">
        <v>344</v>
      </c>
      <c r="Y57" s="120" t="s">
        <v>344</v>
      </c>
      <c r="Z57" s="120" t="s">
        <v>344</v>
      </c>
      <c r="AA57" s="174" t="s">
        <v>387</v>
      </c>
      <c r="AB57" s="120" t="s">
        <v>344</v>
      </c>
      <c r="AC57" s="120" t="s">
        <v>344</v>
      </c>
      <c r="AD57" s="174" t="s">
        <v>387</v>
      </c>
      <c r="AE57" s="120" t="s">
        <v>344</v>
      </c>
      <c r="AF57" s="120" t="s">
        <v>344</v>
      </c>
    </row>
    <row r="58" spans="1:32" s="92" customFormat="1" ht="12.6">
      <c r="A58" s="93"/>
      <c r="B58" s="46" t="s">
        <v>197</v>
      </c>
      <c r="C58" s="46" t="s">
        <v>198</v>
      </c>
      <c r="D58" s="46" t="s">
        <v>193</v>
      </c>
      <c r="E58" s="47">
        <v>255</v>
      </c>
      <c r="F58" s="47"/>
      <c r="G58" s="46"/>
      <c r="H58" s="46"/>
      <c r="I58" s="47"/>
      <c r="J58" s="47"/>
      <c r="K58" s="47"/>
      <c r="L58" s="46" t="s">
        <v>194</v>
      </c>
      <c r="M58" s="46"/>
      <c r="N58" s="49" t="s">
        <v>344</v>
      </c>
      <c r="O58" s="49"/>
      <c r="P58" s="49" t="s">
        <v>344</v>
      </c>
      <c r="Q58" s="93"/>
      <c r="R58" s="162" t="s">
        <v>136</v>
      </c>
      <c r="S58" s="162" t="s">
        <v>136</v>
      </c>
      <c r="T58" s="159"/>
      <c r="U58" s="93"/>
      <c r="V58" s="225" t="s">
        <v>344</v>
      </c>
      <c r="W58" s="226"/>
      <c r="X58" s="226"/>
      <c r="Y58" s="227"/>
      <c r="Z58" s="120" t="s">
        <v>344</v>
      </c>
      <c r="AA58" s="120" t="s">
        <v>344</v>
      </c>
      <c r="AB58" s="120"/>
      <c r="AC58" s="120"/>
      <c r="AD58" s="120" t="s">
        <v>344</v>
      </c>
      <c r="AE58" s="120"/>
      <c r="AF58" s="120"/>
    </row>
    <row r="59" spans="1:32" s="92" customFormat="1" ht="12.6">
      <c r="A59" s="93"/>
      <c r="B59" s="46" t="s">
        <v>199</v>
      </c>
      <c r="C59" s="46" t="s">
        <v>200</v>
      </c>
      <c r="D59" s="46" t="s">
        <v>193</v>
      </c>
      <c r="E59" s="47">
        <v>255</v>
      </c>
      <c r="F59" s="47"/>
      <c r="G59" s="46"/>
      <c r="H59" s="46"/>
      <c r="I59" s="47"/>
      <c r="J59" s="47"/>
      <c r="K59" s="47"/>
      <c r="L59" s="46" t="s">
        <v>194</v>
      </c>
      <c r="M59" s="46"/>
      <c r="N59" s="49" t="s">
        <v>344</v>
      </c>
      <c r="O59" s="49"/>
      <c r="P59" s="49" t="s">
        <v>344</v>
      </c>
      <c r="Q59" s="93"/>
      <c r="R59" s="162" t="s">
        <v>136</v>
      </c>
      <c r="S59" s="162" t="s">
        <v>136</v>
      </c>
      <c r="T59" s="159"/>
      <c r="U59" s="93"/>
      <c r="V59" s="225" t="s">
        <v>344</v>
      </c>
      <c r="W59" s="226"/>
      <c r="X59" s="226"/>
      <c r="Y59" s="227"/>
      <c r="Z59" s="120" t="s">
        <v>344</v>
      </c>
      <c r="AA59" s="120" t="s">
        <v>344</v>
      </c>
      <c r="AB59" s="120"/>
      <c r="AC59" s="120"/>
      <c r="AD59" s="120" t="s">
        <v>344</v>
      </c>
      <c r="AE59" s="120"/>
      <c r="AF59" s="120"/>
    </row>
    <row r="60" spans="1:32" s="92" customFormat="1" ht="12.6">
      <c r="A60" s="93"/>
      <c r="B60" s="46" t="s">
        <v>318</v>
      </c>
      <c r="C60" s="46" t="s">
        <v>319</v>
      </c>
      <c r="D60" s="46" t="s">
        <v>193</v>
      </c>
      <c r="E60" s="47">
        <v>255</v>
      </c>
      <c r="F60" s="47"/>
      <c r="G60" s="46"/>
      <c r="H60" s="46"/>
      <c r="I60" s="47"/>
      <c r="J60" s="47"/>
      <c r="K60" s="47"/>
      <c r="L60" s="46" t="s">
        <v>194</v>
      </c>
      <c r="M60" s="46"/>
      <c r="N60" s="49"/>
      <c r="O60" s="48"/>
      <c r="P60" s="49"/>
      <c r="Q60" s="93"/>
      <c r="R60" s="162" t="s">
        <v>136</v>
      </c>
      <c r="S60" s="162" t="s">
        <v>136</v>
      </c>
      <c r="T60" s="159"/>
      <c r="U60" s="93"/>
      <c r="V60" s="225" t="s">
        <v>344</v>
      </c>
      <c r="W60" s="226"/>
      <c r="X60" s="226"/>
      <c r="Y60" s="227"/>
      <c r="Z60" s="120" t="s">
        <v>344</v>
      </c>
      <c r="AA60" s="120" t="s">
        <v>344</v>
      </c>
      <c r="AB60" s="120"/>
      <c r="AC60" s="120"/>
      <c r="AD60" s="120" t="s">
        <v>344</v>
      </c>
      <c r="AE60" s="120"/>
      <c r="AF60" s="120"/>
    </row>
    <row r="61" spans="1:32" s="92" customFormat="1" ht="12.6">
      <c r="A61" s="93"/>
      <c r="B61" s="46" t="s">
        <v>320</v>
      </c>
      <c r="C61" s="46" t="s">
        <v>321</v>
      </c>
      <c r="D61" s="46" t="s">
        <v>193</v>
      </c>
      <c r="E61" s="47">
        <v>255</v>
      </c>
      <c r="F61" s="47"/>
      <c r="G61" s="46"/>
      <c r="H61" s="46"/>
      <c r="I61" s="47"/>
      <c r="J61" s="47"/>
      <c r="K61" s="47"/>
      <c r="L61" s="46" t="s">
        <v>194</v>
      </c>
      <c r="M61" s="46"/>
      <c r="N61" s="49"/>
      <c r="O61" s="48"/>
      <c r="P61" s="49"/>
      <c r="Q61" s="93"/>
      <c r="R61" s="162" t="s">
        <v>136</v>
      </c>
      <c r="S61" s="162" t="s">
        <v>136</v>
      </c>
      <c r="T61" s="159"/>
      <c r="U61" s="93"/>
      <c r="V61" s="225" t="s">
        <v>344</v>
      </c>
      <c r="W61" s="226"/>
      <c r="X61" s="226"/>
      <c r="Y61" s="227"/>
      <c r="Z61" s="120" t="s">
        <v>344</v>
      </c>
      <c r="AA61" s="120" t="s">
        <v>344</v>
      </c>
      <c r="AB61" s="120"/>
      <c r="AC61" s="120"/>
      <c r="AD61" s="120" t="s">
        <v>344</v>
      </c>
      <c r="AE61" s="120"/>
      <c r="AF61" s="120"/>
    </row>
    <row r="62" spans="1:32" s="92" customFormat="1" ht="12.6">
      <c r="A62" s="93"/>
      <c r="B62" s="46" t="s">
        <v>207</v>
      </c>
      <c r="C62" s="46" t="s">
        <v>208</v>
      </c>
      <c r="D62" s="46" t="s">
        <v>13</v>
      </c>
      <c r="E62" s="47" t="s">
        <v>505</v>
      </c>
      <c r="F62" s="47"/>
      <c r="G62" s="46"/>
      <c r="H62" s="46"/>
      <c r="I62" s="47"/>
      <c r="J62" s="47"/>
      <c r="K62" s="47"/>
      <c r="L62" s="46" t="s">
        <v>204</v>
      </c>
      <c r="M62" s="46"/>
      <c r="N62" s="49" t="s">
        <v>344</v>
      </c>
      <c r="O62" s="49"/>
      <c r="P62" s="49"/>
      <c r="Q62" s="93"/>
      <c r="R62" s="162" t="s">
        <v>136</v>
      </c>
      <c r="S62" s="162" t="s">
        <v>136</v>
      </c>
      <c r="T62" s="159"/>
      <c r="U62" s="93"/>
      <c r="V62" s="225" t="s">
        <v>344</v>
      </c>
      <c r="W62" s="226"/>
      <c r="X62" s="226"/>
      <c r="Y62" s="227"/>
      <c r="Z62" s="120" t="s">
        <v>344</v>
      </c>
      <c r="AA62" s="120" t="s">
        <v>344</v>
      </c>
      <c r="AB62" s="120"/>
      <c r="AC62" s="120"/>
      <c r="AD62" s="120" t="s">
        <v>344</v>
      </c>
      <c r="AE62" s="120"/>
      <c r="AF62" s="120"/>
    </row>
    <row r="63" spans="1:32" s="92" customFormat="1" ht="12.6">
      <c r="A63" s="93"/>
      <c r="B63" s="46" t="s">
        <v>209</v>
      </c>
      <c r="C63" s="46" t="s">
        <v>210</v>
      </c>
      <c r="D63" s="46" t="s">
        <v>13</v>
      </c>
      <c r="E63" s="47">
        <v>40</v>
      </c>
      <c r="F63" s="47"/>
      <c r="G63" s="46"/>
      <c r="H63" s="46"/>
      <c r="I63" s="47"/>
      <c r="J63" s="47"/>
      <c r="K63" s="47"/>
      <c r="L63" s="46" t="s">
        <v>211</v>
      </c>
      <c r="M63" s="46"/>
      <c r="N63" s="49" t="s">
        <v>344</v>
      </c>
      <c r="O63" s="49"/>
      <c r="P63" s="49"/>
      <c r="Q63" s="93"/>
      <c r="R63" s="162" t="s">
        <v>136</v>
      </c>
      <c r="S63" s="162" t="s">
        <v>136</v>
      </c>
      <c r="T63" s="159"/>
      <c r="U63" s="93"/>
      <c r="V63" s="225" t="s">
        <v>344</v>
      </c>
      <c r="W63" s="226"/>
      <c r="X63" s="226"/>
      <c r="Y63" s="227"/>
      <c r="Z63" s="120" t="s">
        <v>344</v>
      </c>
      <c r="AA63" s="120" t="s">
        <v>344</v>
      </c>
      <c r="AB63" s="120"/>
      <c r="AC63" s="120"/>
      <c r="AD63" s="120" t="s">
        <v>344</v>
      </c>
      <c r="AE63" s="120"/>
      <c r="AF63" s="120"/>
    </row>
    <row r="64" spans="1:32" s="92" customFormat="1" ht="12.6">
      <c r="A64" s="93"/>
      <c r="B64" s="46" t="s">
        <v>212</v>
      </c>
      <c r="C64" s="46" t="s">
        <v>213</v>
      </c>
      <c r="D64" s="46" t="s">
        <v>13</v>
      </c>
      <c r="E64" s="47">
        <v>40</v>
      </c>
      <c r="F64" s="47"/>
      <c r="G64" s="46"/>
      <c r="H64" s="46"/>
      <c r="I64" s="47"/>
      <c r="J64" s="47"/>
      <c r="K64" s="47"/>
      <c r="L64" s="46" t="s">
        <v>211</v>
      </c>
      <c r="M64" s="46"/>
      <c r="N64" s="49" t="s">
        <v>344</v>
      </c>
      <c r="O64" s="49"/>
      <c r="P64" s="49"/>
      <c r="Q64" s="93"/>
      <c r="R64" s="162" t="s">
        <v>136</v>
      </c>
      <c r="S64" s="162" t="s">
        <v>136</v>
      </c>
      <c r="T64" s="159"/>
      <c r="U64" s="93"/>
      <c r="V64" s="225" t="s">
        <v>344</v>
      </c>
      <c r="W64" s="226"/>
      <c r="X64" s="226"/>
      <c r="Y64" s="227"/>
      <c r="Z64" s="120" t="s">
        <v>344</v>
      </c>
      <c r="AA64" s="120" t="s">
        <v>344</v>
      </c>
      <c r="AB64" s="120"/>
      <c r="AC64" s="120"/>
      <c r="AD64" s="120" t="s">
        <v>344</v>
      </c>
      <c r="AE64" s="120"/>
      <c r="AF64" s="120"/>
    </row>
    <row r="65" spans="1:32" s="92" customFormat="1" ht="12.6">
      <c r="A65" s="93"/>
      <c r="B65" s="46" t="s">
        <v>218</v>
      </c>
      <c r="C65" s="46" t="s">
        <v>219</v>
      </c>
      <c r="D65" s="46" t="s">
        <v>193</v>
      </c>
      <c r="E65" s="47">
        <v>255</v>
      </c>
      <c r="F65" s="47"/>
      <c r="G65" s="46"/>
      <c r="H65" s="46"/>
      <c r="I65" s="47"/>
      <c r="J65" s="47"/>
      <c r="K65" s="47"/>
      <c r="L65" s="46" t="s">
        <v>194</v>
      </c>
      <c r="M65" s="46"/>
      <c r="N65" s="49" t="s">
        <v>344</v>
      </c>
      <c r="O65" s="49"/>
      <c r="P65" s="49" t="s">
        <v>390</v>
      </c>
      <c r="Q65" s="93"/>
      <c r="R65" s="162" t="s">
        <v>136</v>
      </c>
      <c r="S65" s="162" t="s">
        <v>136</v>
      </c>
      <c r="T65" s="159"/>
      <c r="U65" s="93"/>
      <c r="V65" s="225" t="s">
        <v>344</v>
      </c>
      <c r="W65" s="226"/>
      <c r="X65" s="226"/>
      <c r="Y65" s="227"/>
      <c r="Z65" s="120" t="s">
        <v>344</v>
      </c>
      <c r="AA65" s="120" t="s">
        <v>344</v>
      </c>
      <c r="AB65" s="120"/>
      <c r="AC65" s="120"/>
      <c r="AD65" s="120" t="s">
        <v>344</v>
      </c>
      <c r="AE65" s="120"/>
      <c r="AF65" s="120"/>
    </row>
    <row r="66" spans="1:32" s="92" customFormat="1" ht="12.6">
      <c r="A66" s="93"/>
      <c r="B66" s="46" t="s">
        <v>220</v>
      </c>
      <c r="C66" s="46" t="s">
        <v>221</v>
      </c>
      <c r="D66" s="46" t="s">
        <v>193</v>
      </c>
      <c r="E66" s="47">
        <v>255</v>
      </c>
      <c r="F66" s="47"/>
      <c r="G66" s="46"/>
      <c r="H66" s="46"/>
      <c r="I66" s="47"/>
      <c r="J66" s="47"/>
      <c r="K66" s="47"/>
      <c r="L66" s="46" t="s">
        <v>194</v>
      </c>
      <c r="M66" s="46"/>
      <c r="N66" s="49" t="s">
        <v>344</v>
      </c>
      <c r="O66" s="49"/>
      <c r="P66" s="49" t="s">
        <v>391</v>
      </c>
      <c r="Q66" s="93"/>
      <c r="R66" s="162" t="s">
        <v>136</v>
      </c>
      <c r="S66" s="162" t="s">
        <v>136</v>
      </c>
      <c r="T66" s="159"/>
      <c r="U66" s="93"/>
      <c r="V66" s="225" t="s">
        <v>344</v>
      </c>
      <c r="W66" s="226"/>
      <c r="X66" s="226"/>
      <c r="Y66" s="227"/>
      <c r="Z66" s="120" t="s">
        <v>344</v>
      </c>
      <c r="AA66" s="120" t="s">
        <v>344</v>
      </c>
      <c r="AB66" s="120"/>
      <c r="AC66" s="120"/>
      <c r="AD66" s="120" t="s">
        <v>344</v>
      </c>
      <c r="AE66" s="120"/>
      <c r="AF66" s="120"/>
    </row>
    <row r="67" spans="1:32" s="92" customFormat="1" ht="12.6">
      <c r="A67" s="93"/>
      <c r="B67" s="46" t="s">
        <v>222</v>
      </c>
      <c r="C67" s="46" t="s">
        <v>223</v>
      </c>
      <c r="D67" s="46" t="s">
        <v>13</v>
      </c>
      <c r="E67" s="47">
        <v>40</v>
      </c>
      <c r="F67" s="47"/>
      <c r="G67" s="46"/>
      <c r="H67" s="46"/>
      <c r="I67" s="47"/>
      <c r="J67" s="47"/>
      <c r="K67" s="47"/>
      <c r="L67" s="46" t="s">
        <v>211</v>
      </c>
      <c r="M67" s="46"/>
      <c r="N67" s="49" t="s">
        <v>344</v>
      </c>
      <c r="O67" s="48"/>
      <c r="P67" s="49"/>
      <c r="Q67" s="93"/>
      <c r="R67" s="162" t="s">
        <v>136</v>
      </c>
      <c r="S67" s="162" t="s">
        <v>136</v>
      </c>
      <c r="T67" s="159"/>
      <c r="U67" s="93"/>
      <c r="V67" s="225" t="s">
        <v>344</v>
      </c>
      <c r="W67" s="226"/>
      <c r="X67" s="226"/>
      <c r="Y67" s="227"/>
      <c r="Z67" s="120" t="s">
        <v>344</v>
      </c>
      <c r="AA67" s="120" t="s">
        <v>344</v>
      </c>
      <c r="AB67" s="120"/>
      <c r="AC67" s="120"/>
      <c r="AD67" s="120" t="s">
        <v>344</v>
      </c>
      <c r="AE67" s="120"/>
      <c r="AF67" s="120"/>
    </row>
    <row r="68" spans="1:32" s="92" customFormat="1" ht="12.6">
      <c r="A68" s="93"/>
      <c r="B68" s="46" t="s">
        <v>224</v>
      </c>
      <c r="C68" s="46" t="s">
        <v>225</v>
      </c>
      <c r="D68" s="46" t="s">
        <v>13</v>
      </c>
      <c r="E68" s="47">
        <v>40</v>
      </c>
      <c r="F68" s="47"/>
      <c r="G68" s="46"/>
      <c r="H68" s="46"/>
      <c r="I68" s="47"/>
      <c r="J68" s="47"/>
      <c r="K68" s="47"/>
      <c r="L68" s="46" t="s">
        <v>211</v>
      </c>
      <c r="M68" s="46"/>
      <c r="N68" s="48" t="s">
        <v>344</v>
      </c>
      <c r="O68" s="49"/>
      <c r="P68" s="49"/>
      <c r="Q68" s="93"/>
      <c r="R68" s="162" t="s">
        <v>136</v>
      </c>
      <c r="S68" s="162" t="s">
        <v>136</v>
      </c>
      <c r="T68" s="159"/>
      <c r="U68" s="93"/>
      <c r="V68" s="225" t="s">
        <v>344</v>
      </c>
      <c r="W68" s="226"/>
      <c r="X68" s="226"/>
      <c r="Y68" s="227"/>
      <c r="Z68" s="120" t="s">
        <v>344</v>
      </c>
      <c r="AA68" s="120" t="s">
        <v>344</v>
      </c>
      <c r="AB68" s="120"/>
      <c r="AC68" s="120"/>
      <c r="AD68" s="120" t="s">
        <v>344</v>
      </c>
      <c r="AE68" s="120"/>
      <c r="AF68" s="120"/>
    </row>
    <row r="69" spans="1:32" s="92" customFormat="1" ht="12.6">
      <c r="A69" s="93"/>
      <c r="B69" s="46" t="s">
        <v>226</v>
      </c>
      <c r="C69" s="46" t="s">
        <v>227</v>
      </c>
      <c r="D69" s="46" t="s">
        <v>13</v>
      </c>
      <c r="E69" s="47">
        <v>40</v>
      </c>
      <c r="F69" s="47"/>
      <c r="G69" s="46"/>
      <c r="H69" s="46"/>
      <c r="I69" s="47"/>
      <c r="J69" s="47"/>
      <c r="K69" s="47"/>
      <c r="L69" s="46" t="s">
        <v>211</v>
      </c>
      <c r="M69" s="46"/>
      <c r="N69" s="48" t="s">
        <v>344</v>
      </c>
      <c r="O69" s="49"/>
      <c r="P69" s="49"/>
      <c r="Q69" s="93"/>
      <c r="R69" s="162" t="s">
        <v>136</v>
      </c>
      <c r="S69" s="162" t="s">
        <v>136</v>
      </c>
      <c r="T69" s="159"/>
      <c r="U69" s="93"/>
      <c r="V69" s="225" t="s">
        <v>344</v>
      </c>
      <c r="W69" s="226"/>
      <c r="X69" s="226"/>
      <c r="Y69" s="227"/>
      <c r="Z69" s="120" t="s">
        <v>344</v>
      </c>
      <c r="AA69" s="120" t="s">
        <v>344</v>
      </c>
      <c r="AB69" s="120"/>
      <c r="AC69" s="120"/>
      <c r="AD69" s="120" t="s">
        <v>344</v>
      </c>
      <c r="AE69" s="120"/>
      <c r="AF69" s="120"/>
    </row>
    <row r="70" spans="1:32" s="92" customFormat="1" ht="12.6">
      <c r="A70" s="93"/>
      <c r="B70" s="46" t="s">
        <v>248</v>
      </c>
      <c r="C70" s="46" t="s">
        <v>249</v>
      </c>
      <c r="D70" s="46" t="s">
        <v>13</v>
      </c>
      <c r="E70" s="47">
        <v>255</v>
      </c>
      <c r="F70" s="47"/>
      <c r="G70" s="46"/>
      <c r="H70" s="46"/>
      <c r="I70" s="47"/>
      <c r="J70" s="47"/>
      <c r="K70" s="47"/>
      <c r="L70" s="46"/>
      <c r="M70" s="46"/>
      <c r="N70" s="49" t="s">
        <v>344</v>
      </c>
      <c r="O70" s="48"/>
      <c r="P70" s="49"/>
      <c r="Q70" s="93"/>
      <c r="R70" s="162" t="s">
        <v>136</v>
      </c>
      <c r="S70" s="162" t="s">
        <v>136</v>
      </c>
      <c r="T70" s="159"/>
      <c r="U70" s="93"/>
      <c r="V70" s="225" t="s">
        <v>344</v>
      </c>
      <c r="W70" s="226"/>
      <c r="X70" s="226"/>
      <c r="Y70" s="227"/>
      <c r="Z70" s="120" t="s">
        <v>344</v>
      </c>
      <c r="AA70" s="120" t="s">
        <v>344</v>
      </c>
      <c r="AB70" s="120"/>
      <c r="AC70" s="120"/>
      <c r="AD70" s="120" t="s">
        <v>344</v>
      </c>
      <c r="AE70" s="120"/>
      <c r="AF70" s="120"/>
    </row>
    <row r="71" spans="1:32" s="92" customFormat="1" ht="12.6">
      <c r="A71" s="93"/>
      <c r="B71" s="46" t="s">
        <v>250</v>
      </c>
      <c r="C71" s="46" t="s">
        <v>251</v>
      </c>
      <c r="D71" s="46" t="s">
        <v>13</v>
      </c>
      <c r="E71" s="47">
        <v>40</v>
      </c>
      <c r="F71" s="47"/>
      <c r="G71" s="46"/>
      <c r="H71" s="46"/>
      <c r="I71" s="47"/>
      <c r="J71" s="47"/>
      <c r="K71" s="47"/>
      <c r="L71" s="46"/>
      <c r="M71" s="46"/>
      <c r="N71" s="49" t="s">
        <v>344</v>
      </c>
      <c r="O71" s="48"/>
      <c r="P71" s="49"/>
      <c r="Q71" s="93"/>
      <c r="R71" s="162" t="s">
        <v>136</v>
      </c>
      <c r="S71" s="162" t="s">
        <v>136</v>
      </c>
      <c r="T71" s="159"/>
      <c r="U71" s="93"/>
      <c r="V71" s="225" t="s">
        <v>344</v>
      </c>
      <c r="W71" s="226"/>
      <c r="X71" s="226"/>
      <c r="Y71" s="227"/>
      <c r="Z71" s="120" t="s">
        <v>344</v>
      </c>
      <c r="AA71" s="120" t="s">
        <v>344</v>
      </c>
      <c r="AB71" s="120"/>
      <c r="AC71" s="120"/>
      <c r="AD71" s="120" t="s">
        <v>344</v>
      </c>
      <c r="AE71" s="120"/>
      <c r="AF71" s="120"/>
    </row>
    <row r="72" spans="1:32" s="92" customFormat="1" ht="12.6">
      <c r="A72" s="93"/>
      <c r="B72" s="46" t="s">
        <v>291</v>
      </c>
      <c r="C72" s="46" t="s">
        <v>292</v>
      </c>
      <c r="D72" s="46" t="s">
        <v>193</v>
      </c>
      <c r="E72" s="47">
        <v>255</v>
      </c>
      <c r="F72" s="47"/>
      <c r="G72" s="46"/>
      <c r="H72" s="46"/>
      <c r="I72" s="47"/>
      <c r="J72" s="47"/>
      <c r="K72" s="47"/>
      <c r="L72" s="46"/>
      <c r="M72" s="46"/>
      <c r="N72" s="49"/>
      <c r="O72" s="48"/>
      <c r="P72" s="49"/>
      <c r="Q72" s="93"/>
      <c r="R72" s="162" t="s">
        <v>136</v>
      </c>
      <c r="S72" s="162" t="s">
        <v>136</v>
      </c>
      <c r="T72" s="159"/>
      <c r="U72" s="93"/>
      <c r="V72" s="225" t="s">
        <v>344</v>
      </c>
      <c r="W72" s="226"/>
      <c r="X72" s="226"/>
      <c r="Y72" s="227"/>
      <c r="Z72" s="120" t="s">
        <v>344</v>
      </c>
      <c r="AA72" s="120" t="s">
        <v>344</v>
      </c>
      <c r="AB72" s="120"/>
      <c r="AC72" s="120"/>
      <c r="AD72" s="120" t="s">
        <v>344</v>
      </c>
      <c r="AE72" s="120"/>
      <c r="AF72" s="120"/>
    </row>
    <row r="73" spans="1:32" s="92" customFormat="1" ht="12.6">
      <c r="A73" s="93"/>
      <c r="B73" s="46" t="s">
        <v>293</v>
      </c>
      <c r="C73" s="46" t="s">
        <v>294</v>
      </c>
      <c r="D73" s="46" t="s">
        <v>193</v>
      </c>
      <c r="E73" s="47">
        <v>255</v>
      </c>
      <c r="F73" s="47"/>
      <c r="G73" s="46"/>
      <c r="H73" s="46"/>
      <c r="I73" s="47"/>
      <c r="J73" s="47"/>
      <c r="K73" s="47"/>
      <c r="L73" s="46"/>
      <c r="M73" s="46"/>
      <c r="N73" s="49"/>
      <c r="O73" s="48"/>
      <c r="P73" s="49"/>
      <c r="Q73" s="93"/>
      <c r="R73" s="162" t="s">
        <v>136</v>
      </c>
      <c r="S73" s="162" t="s">
        <v>136</v>
      </c>
      <c r="T73" s="159"/>
      <c r="U73" s="93"/>
      <c r="V73" s="225" t="s">
        <v>344</v>
      </c>
      <c r="W73" s="226"/>
      <c r="X73" s="226"/>
      <c r="Y73" s="227"/>
      <c r="Z73" s="120" t="s">
        <v>344</v>
      </c>
      <c r="AA73" s="120" t="s">
        <v>344</v>
      </c>
      <c r="AB73" s="120"/>
      <c r="AC73" s="120"/>
      <c r="AD73" s="120" t="s">
        <v>344</v>
      </c>
      <c r="AE73" s="120"/>
      <c r="AF73" s="120"/>
    </row>
    <row r="74" spans="1:32" s="92" customFormat="1" ht="12.6">
      <c r="A74" s="93"/>
      <c r="B74" s="46" t="s">
        <v>295</v>
      </c>
      <c r="C74" s="46" t="s">
        <v>296</v>
      </c>
      <c r="D74" s="46" t="s">
        <v>193</v>
      </c>
      <c r="E74" s="47">
        <v>255</v>
      </c>
      <c r="F74" s="47"/>
      <c r="G74" s="46"/>
      <c r="H74" s="46"/>
      <c r="I74" s="47"/>
      <c r="J74" s="47"/>
      <c r="K74" s="47"/>
      <c r="L74" s="46"/>
      <c r="M74" s="46"/>
      <c r="N74" s="49"/>
      <c r="O74" s="48"/>
      <c r="P74" s="49"/>
      <c r="Q74" s="93"/>
      <c r="R74" s="162" t="s">
        <v>136</v>
      </c>
      <c r="S74" s="162" t="s">
        <v>136</v>
      </c>
      <c r="T74" s="159"/>
      <c r="U74" s="93"/>
      <c r="V74" s="225" t="s">
        <v>344</v>
      </c>
      <c r="W74" s="226"/>
      <c r="X74" s="226"/>
      <c r="Y74" s="227"/>
      <c r="Z74" s="120" t="s">
        <v>344</v>
      </c>
      <c r="AA74" s="120" t="s">
        <v>344</v>
      </c>
      <c r="AB74" s="120"/>
      <c r="AC74" s="120"/>
      <c r="AD74" s="120" t="s">
        <v>344</v>
      </c>
      <c r="AE74" s="120"/>
      <c r="AF74" s="120"/>
    </row>
    <row r="75" spans="1:32" s="92" customFormat="1" ht="12.6">
      <c r="A75" s="93"/>
      <c r="B75" s="46" t="s">
        <v>297</v>
      </c>
      <c r="C75" s="46" t="s">
        <v>298</v>
      </c>
      <c r="D75" s="46" t="s">
        <v>13</v>
      </c>
      <c r="E75" s="47">
        <v>16</v>
      </c>
      <c r="F75" s="47"/>
      <c r="G75" s="46"/>
      <c r="H75" s="46"/>
      <c r="I75" s="47"/>
      <c r="J75" s="47"/>
      <c r="K75" s="47"/>
      <c r="L75" s="46"/>
      <c r="M75" s="46"/>
      <c r="N75" s="49"/>
      <c r="O75" s="48"/>
      <c r="P75" s="49"/>
      <c r="Q75" s="93"/>
      <c r="R75" s="162" t="s">
        <v>136</v>
      </c>
      <c r="S75" s="162" t="s">
        <v>136</v>
      </c>
      <c r="T75" s="159"/>
      <c r="U75" s="93"/>
      <c r="V75" s="225" t="s">
        <v>344</v>
      </c>
      <c r="W75" s="226"/>
      <c r="X75" s="226"/>
      <c r="Y75" s="227"/>
      <c r="Z75" s="120" t="s">
        <v>344</v>
      </c>
      <c r="AA75" s="120" t="s">
        <v>344</v>
      </c>
      <c r="AB75" s="120"/>
      <c r="AC75" s="120"/>
      <c r="AD75" s="120" t="s">
        <v>344</v>
      </c>
      <c r="AE75" s="120"/>
      <c r="AF75" s="120"/>
    </row>
    <row r="76" spans="1:32" s="92" customFormat="1" ht="12.6">
      <c r="A76" s="93"/>
      <c r="B76" s="46" t="s">
        <v>299</v>
      </c>
      <c r="C76" s="46" t="s">
        <v>300</v>
      </c>
      <c r="D76" s="46" t="s">
        <v>13</v>
      </c>
      <c r="E76" s="47">
        <v>16</v>
      </c>
      <c r="F76" s="47"/>
      <c r="G76" s="46"/>
      <c r="H76" s="46"/>
      <c r="I76" s="47"/>
      <c r="J76" s="47"/>
      <c r="K76" s="47"/>
      <c r="L76" s="46"/>
      <c r="M76" s="46"/>
      <c r="N76" s="49"/>
      <c r="O76" s="48"/>
      <c r="P76" s="49"/>
      <c r="Q76" s="93"/>
      <c r="R76" s="162" t="s">
        <v>136</v>
      </c>
      <c r="S76" s="162" t="s">
        <v>136</v>
      </c>
      <c r="T76" s="159"/>
      <c r="U76" s="93"/>
      <c r="V76" s="225" t="s">
        <v>344</v>
      </c>
      <c r="W76" s="226"/>
      <c r="X76" s="226"/>
      <c r="Y76" s="227"/>
      <c r="Z76" s="120" t="s">
        <v>344</v>
      </c>
      <c r="AA76" s="120" t="s">
        <v>344</v>
      </c>
      <c r="AB76" s="120"/>
      <c r="AC76" s="120"/>
      <c r="AD76" s="120" t="s">
        <v>344</v>
      </c>
      <c r="AE76" s="120"/>
      <c r="AF76" s="120"/>
    </row>
    <row r="77" spans="1:32" s="92" customFormat="1" ht="12.6">
      <c r="A77" s="93"/>
      <c r="B77" s="46" t="s">
        <v>301</v>
      </c>
      <c r="C77" s="46" t="s">
        <v>302</v>
      </c>
      <c r="D77" s="46" t="s">
        <v>17</v>
      </c>
      <c r="E77" s="47">
        <v>8</v>
      </c>
      <c r="F77" s="47"/>
      <c r="G77" s="46"/>
      <c r="H77" s="46"/>
      <c r="I77" s="47"/>
      <c r="J77" s="47"/>
      <c r="K77" s="47"/>
      <c r="L77" s="46"/>
      <c r="M77" s="46"/>
      <c r="N77" s="49"/>
      <c r="O77" s="48"/>
      <c r="P77" s="49"/>
      <c r="Q77" s="93"/>
      <c r="R77" s="162" t="s">
        <v>136</v>
      </c>
      <c r="S77" s="162" t="s">
        <v>136</v>
      </c>
      <c r="T77" s="159"/>
      <c r="U77" s="93"/>
      <c r="V77" s="225" t="s">
        <v>344</v>
      </c>
      <c r="W77" s="226"/>
      <c r="X77" s="226"/>
      <c r="Y77" s="227"/>
      <c r="Z77" s="120" t="s">
        <v>344</v>
      </c>
      <c r="AA77" s="120" t="s">
        <v>344</v>
      </c>
      <c r="AB77" s="120"/>
      <c r="AC77" s="120"/>
      <c r="AD77" s="120" t="s">
        <v>344</v>
      </c>
      <c r="AE77" s="120"/>
      <c r="AF77" s="120"/>
    </row>
    <row r="78" spans="1:32" s="92" customFormat="1" ht="12.6">
      <c r="A78" s="93"/>
      <c r="B78" s="46" t="s">
        <v>303</v>
      </c>
      <c r="C78" s="46" t="s">
        <v>304</v>
      </c>
      <c r="D78" s="46" t="s">
        <v>13</v>
      </c>
      <c r="E78" s="47" t="s">
        <v>505</v>
      </c>
      <c r="F78" s="47"/>
      <c r="G78" s="46"/>
      <c r="H78" s="46"/>
      <c r="I78" s="47"/>
      <c r="J78" s="47"/>
      <c r="K78" s="47"/>
      <c r="L78" s="46"/>
      <c r="M78" s="46"/>
      <c r="N78" s="49"/>
      <c r="O78" s="48"/>
      <c r="P78" s="49"/>
      <c r="Q78" s="93"/>
      <c r="R78" s="162" t="s">
        <v>136</v>
      </c>
      <c r="S78" s="162" t="s">
        <v>136</v>
      </c>
      <c r="T78" s="159"/>
      <c r="U78" s="93"/>
      <c r="V78" s="225" t="s">
        <v>344</v>
      </c>
      <c r="W78" s="226"/>
      <c r="X78" s="226"/>
      <c r="Y78" s="227"/>
      <c r="Z78" s="120" t="s">
        <v>344</v>
      </c>
      <c r="AA78" s="120" t="s">
        <v>344</v>
      </c>
      <c r="AB78" s="120"/>
      <c r="AC78" s="120"/>
      <c r="AD78" s="120" t="s">
        <v>344</v>
      </c>
      <c r="AE78" s="120"/>
      <c r="AF78" s="120"/>
    </row>
    <row r="79" spans="1:32" s="92" customFormat="1" ht="15.75" customHeight="1">
      <c r="A79" s="93"/>
      <c r="B79" s="46" t="s">
        <v>305</v>
      </c>
      <c r="C79" s="46" t="s">
        <v>306</v>
      </c>
      <c r="D79" s="46" t="s">
        <v>13</v>
      </c>
      <c r="E79" s="47">
        <v>16</v>
      </c>
      <c r="F79" s="47"/>
      <c r="G79" s="46"/>
      <c r="H79" s="46"/>
      <c r="I79" s="47"/>
      <c r="J79" s="47"/>
      <c r="K79" s="47"/>
      <c r="L79" s="46"/>
      <c r="M79" s="46"/>
      <c r="N79" s="49"/>
      <c r="O79" s="48"/>
      <c r="P79" s="49"/>
      <c r="Q79" s="93"/>
      <c r="R79" s="162" t="s">
        <v>136</v>
      </c>
      <c r="S79" s="162" t="s">
        <v>136</v>
      </c>
      <c r="T79" s="159"/>
      <c r="U79" s="93"/>
      <c r="V79" s="225" t="s">
        <v>344</v>
      </c>
      <c r="W79" s="226"/>
      <c r="X79" s="226"/>
      <c r="Y79" s="227"/>
      <c r="Z79" s="120" t="s">
        <v>344</v>
      </c>
      <c r="AA79" s="120" t="s">
        <v>344</v>
      </c>
      <c r="AB79" s="120"/>
      <c r="AC79" s="120"/>
      <c r="AD79" s="120" t="s">
        <v>344</v>
      </c>
      <c r="AE79" s="120"/>
      <c r="AF79" s="120"/>
    </row>
    <row r="80" spans="1:32" s="92" customFormat="1" ht="12.6">
      <c r="A80" s="93"/>
      <c r="B80" s="46" t="s">
        <v>1449</v>
      </c>
      <c r="C80" s="46" t="s">
        <v>308</v>
      </c>
      <c r="D80" s="46" t="s">
        <v>13</v>
      </c>
      <c r="E80" s="47">
        <v>16</v>
      </c>
      <c r="F80" s="47"/>
      <c r="G80" s="46"/>
      <c r="H80" s="46"/>
      <c r="I80" s="47"/>
      <c r="J80" s="47"/>
      <c r="K80" s="47"/>
      <c r="L80" s="46"/>
      <c r="M80" s="46"/>
      <c r="N80" s="49"/>
      <c r="O80" s="48"/>
      <c r="P80" s="49"/>
      <c r="Q80" s="93"/>
      <c r="R80" s="162" t="s">
        <v>136</v>
      </c>
      <c r="S80" s="162" t="s">
        <v>136</v>
      </c>
      <c r="T80" s="159"/>
      <c r="U80" s="93"/>
      <c r="V80" s="225" t="s">
        <v>344</v>
      </c>
      <c r="W80" s="226"/>
      <c r="X80" s="226"/>
      <c r="Y80" s="227"/>
      <c r="Z80" s="120" t="s">
        <v>344</v>
      </c>
      <c r="AA80" s="120" t="s">
        <v>344</v>
      </c>
      <c r="AB80" s="120"/>
      <c r="AC80" s="120"/>
      <c r="AD80" s="120" t="s">
        <v>344</v>
      </c>
      <c r="AE80" s="120"/>
      <c r="AF80" s="120"/>
    </row>
    <row r="81" spans="1:32" s="92" customFormat="1" ht="12.6">
      <c r="A81" s="93"/>
      <c r="B81" s="46" t="s">
        <v>309</v>
      </c>
      <c r="C81" s="46" t="s">
        <v>310</v>
      </c>
      <c r="D81" s="46" t="s">
        <v>17</v>
      </c>
      <c r="E81" s="47">
        <v>8</v>
      </c>
      <c r="F81" s="47"/>
      <c r="G81" s="46"/>
      <c r="H81" s="46"/>
      <c r="I81" s="47"/>
      <c r="J81" s="47"/>
      <c r="K81" s="47"/>
      <c r="L81" s="46"/>
      <c r="M81" s="46"/>
      <c r="N81" s="49"/>
      <c r="O81" s="48"/>
      <c r="P81" s="49"/>
      <c r="Q81" s="93"/>
      <c r="R81" s="162" t="s">
        <v>136</v>
      </c>
      <c r="S81" s="162" t="s">
        <v>136</v>
      </c>
      <c r="T81" s="159"/>
      <c r="U81" s="93"/>
      <c r="V81" s="225" t="s">
        <v>344</v>
      </c>
      <c r="W81" s="226"/>
      <c r="X81" s="226"/>
      <c r="Y81" s="227"/>
      <c r="Z81" s="120" t="s">
        <v>344</v>
      </c>
      <c r="AA81" s="120" t="s">
        <v>344</v>
      </c>
      <c r="AB81" s="120"/>
      <c r="AC81" s="120"/>
      <c r="AD81" s="120" t="s">
        <v>344</v>
      </c>
      <c r="AE81" s="120"/>
      <c r="AF81" s="120"/>
    </row>
    <row r="82" spans="1:32" s="92" customFormat="1" ht="12.6">
      <c r="A82" s="93"/>
      <c r="B82" s="46" t="s">
        <v>311</v>
      </c>
      <c r="C82" s="46" t="s">
        <v>312</v>
      </c>
      <c r="D82" s="46" t="s">
        <v>13</v>
      </c>
      <c r="E82" s="47" t="s">
        <v>505</v>
      </c>
      <c r="F82" s="47"/>
      <c r="G82" s="46"/>
      <c r="H82" s="46"/>
      <c r="I82" s="47"/>
      <c r="J82" s="47"/>
      <c r="K82" s="47"/>
      <c r="L82" s="46"/>
      <c r="M82" s="46"/>
      <c r="N82" s="49"/>
      <c r="O82" s="48"/>
      <c r="P82" s="49"/>
      <c r="Q82" s="93"/>
      <c r="R82" s="162" t="s">
        <v>136</v>
      </c>
      <c r="S82" s="162" t="s">
        <v>136</v>
      </c>
      <c r="T82" s="159"/>
      <c r="U82" s="93"/>
      <c r="V82" s="225" t="s">
        <v>344</v>
      </c>
      <c r="W82" s="226"/>
      <c r="X82" s="226"/>
      <c r="Y82" s="227"/>
      <c r="Z82" s="120" t="s">
        <v>344</v>
      </c>
      <c r="AA82" s="120" t="s">
        <v>344</v>
      </c>
      <c r="AB82" s="120"/>
      <c r="AC82" s="120"/>
      <c r="AD82" s="120" t="s">
        <v>344</v>
      </c>
      <c r="AE82" s="120"/>
      <c r="AF82" s="120"/>
    </row>
    <row r="83" spans="1:32" s="92" customFormat="1" ht="12.6">
      <c r="A83" s="93"/>
      <c r="B83" s="46" t="s">
        <v>313</v>
      </c>
      <c r="C83" s="46" t="s">
        <v>314</v>
      </c>
      <c r="D83" s="46" t="s">
        <v>13</v>
      </c>
      <c r="E83" s="47">
        <v>50</v>
      </c>
      <c r="F83" s="47"/>
      <c r="G83" s="46"/>
      <c r="H83" s="46"/>
      <c r="I83" s="47"/>
      <c r="J83" s="47"/>
      <c r="K83" s="47"/>
      <c r="L83" s="46" t="s">
        <v>315</v>
      </c>
      <c r="M83" s="46"/>
      <c r="N83" s="49"/>
      <c r="O83" s="48"/>
      <c r="P83" s="49"/>
      <c r="Q83" s="93"/>
      <c r="R83" s="162" t="s">
        <v>136</v>
      </c>
      <c r="S83" s="162" t="s">
        <v>136</v>
      </c>
      <c r="T83" s="159"/>
      <c r="U83" s="93"/>
      <c r="V83" s="225" t="s">
        <v>344</v>
      </c>
      <c r="W83" s="226"/>
      <c r="X83" s="226"/>
      <c r="Y83" s="227"/>
      <c r="Z83" s="120" t="s">
        <v>344</v>
      </c>
      <c r="AA83" s="120" t="s">
        <v>344</v>
      </c>
      <c r="AB83" s="120"/>
      <c r="AC83" s="120"/>
      <c r="AD83" s="120" t="s">
        <v>344</v>
      </c>
      <c r="AE83" s="120"/>
      <c r="AF83" s="120"/>
    </row>
    <row r="84" spans="1:32" s="92" customFormat="1" ht="12.6">
      <c r="A84" s="93"/>
      <c r="B84" s="46" t="s">
        <v>316</v>
      </c>
      <c r="C84" s="46" t="s">
        <v>317</v>
      </c>
      <c r="D84" s="46" t="s">
        <v>13</v>
      </c>
      <c r="E84" s="47">
        <v>50</v>
      </c>
      <c r="F84" s="47"/>
      <c r="G84" s="46"/>
      <c r="H84" s="46"/>
      <c r="I84" s="47"/>
      <c r="J84" s="47"/>
      <c r="K84" s="47"/>
      <c r="L84" s="46" t="s">
        <v>315</v>
      </c>
      <c r="M84" s="46"/>
      <c r="N84" s="49"/>
      <c r="O84" s="48"/>
      <c r="P84" s="49"/>
      <c r="Q84" s="93"/>
      <c r="R84" s="162" t="s">
        <v>136</v>
      </c>
      <c r="S84" s="162" t="s">
        <v>136</v>
      </c>
      <c r="T84" s="159"/>
      <c r="U84" s="93"/>
      <c r="V84" s="225" t="s">
        <v>344</v>
      </c>
      <c r="W84" s="226"/>
      <c r="X84" s="226"/>
      <c r="Y84" s="227"/>
      <c r="Z84" s="120" t="s">
        <v>344</v>
      </c>
      <c r="AA84" s="120" t="s">
        <v>344</v>
      </c>
      <c r="AB84" s="120"/>
      <c r="AC84" s="120"/>
      <c r="AD84" s="120" t="s">
        <v>344</v>
      </c>
      <c r="AE84" s="120"/>
      <c r="AF84" s="120"/>
    </row>
    <row r="85" spans="1:32" s="92" customFormat="1" ht="12.6">
      <c r="A85" s="93"/>
      <c r="B85" s="46" t="s">
        <v>326</v>
      </c>
      <c r="C85" s="46" t="s">
        <v>327</v>
      </c>
      <c r="D85" s="46" t="s">
        <v>13</v>
      </c>
      <c r="E85" s="47">
        <v>40</v>
      </c>
      <c r="F85" s="47"/>
      <c r="G85" s="46"/>
      <c r="H85" s="46"/>
      <c r="I85" s="47"/>
      <c r="J85" s="47"/>
      <c r="K85" s="47"/>
      <c r="L85" s="46" t="s">
        <v>211</v>
      </c>
      <c r="M85" s="46"/>
      <c r="N85" s="49"/>
      <c r="O85" s="48"/>
      <c r="P85" s="49"/>
      <c r="Q85" s="93"/>
      <c r="R85" s="162" t="s">
        <v>136</v>
      </c>
      <c r="S85" s="162" t="s">
        <v>136</v>
      </c>
      <c r="T85" s="159"/>
      <c r="U85" s="93"/>
      <c r="V85" s="225" t="s">
        <v>344</v>
      </c>
      <c r="W85" s="226"/>
      <c r="X85" s="226"/>
      <c r="Y85" s="227"/>
      <c r="Z85" s="120" t="s">
        <v>344</v>
      </c>
      <c r="AA85" s="120" t="s">
        <v>344</v>
      </c>
      <c r="AB85" s="120"/>
      <c r="AC85" s="120"/>
      <c r="AD85" s="120" t="s">
        <v>344</v>
      </c>
      <c r="AE85" s="120"/>
      <c r="AF85" s="120"/>
    </row>
    <row r="86" spans="1:32" s="92" customFormat="1" ht="12.6">
      <c r="A86" s="93"/>
      <c r="B86" s="46" t="s">
        <v>328</v>
      </c>
      <c r="C86" s="46" t="s">
        <v>329</v>
      </c>
      <c r="D86" s="46" t="s">
        <v>13</v>
      </c>
      <c r="E86" s="47" t="s">
        <v>505</v>
      </c>
      <c r="F86" s="47"/>
      <c r="G86" s="46"/>
      <c r="H86" s="46"/>
      <c r="I86" s="47"/>
      <c r="J86" s="47"/>
      <c r="K86" s="47"/>
      <c r="L86" s="46" t="s">
        <v>204</v>
      </c>
      <c r="M86" s="46"/>
      <c r="N86" s="49"/>
      <c r="O86" s="48"/>
      <c r="P86" s="49"/>
      <c r="Q86" s="93"/>
      <c r="R86" s="162" t="s">
        <v>136</v>
      </c>
      <c r="S86" s="162" t="s">
        <v>136</v>
      </c>
      <c r="T86" s="159"/>
      <c r="U86" s="93"/>
      <c r="V86" s="225" t="s">
        <v>344</v>
      </c>
      <c r="W86" s="226"/>
      <c r="X86" s="226"/>
      <c r="Y86" s="227"/>
      <c r="Z86" s="120" t="s">
        <v>344</v>
      </c>
      <c r="AA86" s="120" t="s">
        <v>344</v>
      </c>
      <c r="AB86" s="120"/>
      <c r="AC86" s="120"/>
      <c r="AD86" s="120" t="s">
        <v>344</v>
      </c>
      <c r="AE86" s="120"/>
      <c r="AF86" s="120"/>
    </row>
    <row r="87" spans="1:32" s="92" customFormat="1" ht="12.6">
      <c r="A87" s="93"/>
      <c r="B87" s="46" t="s">
        <v>338</v>
      </c>
      <c r="C87" s="46" t="s">
        <v>339</v>
      </c>
      <c r="D87" s="46" t="s">
        <v>13</v>
      </c>
      <c r="E87" s="47" t="s">
        <v>505</v>
      </c>
      <c r="F87" s="47"/>
      <c r="G87" s="46"/>
      <c r="H87" s="46"/>
      <c r="I87" s="47"/>
      <c r="J87" s="47"/>
      <c r="K87" s="47"/>
      <c r="L87" s="46" t="s">
        <v>204</v>
      </c>
      <c r="M87" s="46"/>
      <c r="N87" s="49"/>
      <c r="O87" s="48"/>
      <c r="P87" s="49"/>
      <c r="Q87" s="93"/>
      <c r="R87" s="162" t="s">
        <v>136</v>
      </c>
      <c r="S87" s="162" t="s">
        <v>136</v>
      </c>
      <c r="T87" s="159"/>
      <c r="U87" s="93"/>
      <c r="V87" s="225" t="s">
        <v>344</v>
      </c>
      <c r="W87" s="226"/>
      <c r="X87" s="226"/>
      <c r="Y87" s="227"/>
      <c r="Z87" s="120" t="s">
        <v>344</v>
      </c>
      <c r="AA87" s="120" t="s">
        <v>344</v>
      </c>
      <c r="AB87" s="120"/>
      <c r="AC87" s="120"/>
      <c r="AD87" s="120" t="s">
        <v>344</v>
      </c>
      <c r="AE87" s="120"/>
      <c r="AF87" s="120"/>
    </row>
    <row r="88" spans="1:32" s="149" customFormat="1" ht="12.6">
      <c r="A88" s="147"/>
      <c r="B88" s="143" t="s">
        <v>1462</v>
      </c>
      <c r="C88" s="143" t="s">
        <v>1463</v>
      </c>
      <c r="D88" s="143" t="s">
        <v>13</v>
      </c>
      <c r="E88" s="144">
        <v>50</v>
      </c>
      <c r="F88" s="144"/>
      <c r="G88" s="143"/>
      <c r="H88" s="143"/>
      <c r="I88" s="144"/>
      <c r="J88" s="144"/>
      <c r="K88" s="144"/>
      <c r="L88" s="143" t="s">
        <v>315</v>
      </c>
      <c r="M88" s="143"/>
      <c r="N88" s="145"/>
      <c r="O88" s="146"/>
      <c r="P88" s="145"/>
      <c r="Q88" s="147"/>
      <c r="R88" s="163"/>
      <c r="S88" s="163"/>
      <c r="T88" s="160"/>
      <c r="U88" s="147"/>
      <c r="V88" s="180" t="s">
        <v>344</v>
      </c>
      <c r="W88" s="180" t="s">
        <v>344</v>
      </c>
      <c r="X88" s="180" t="s">
        <v>344</v>
      </c>
      <c r="Y88" s="180" t="s">
        <v>344</v>
      </c>
      <c r="Z88" s="148" t="s">
        <v>344</v>
      </c>
      <c r="AA88" s="148" t="s">
        <v>344</v>
      </c>
      <c r="AB88" s="180" t="s">
        <v>344</v>
      </c>
      <c r="AC88" s="180" t="s">
        <v>344</v>
      </c>
      <c r="AD88" s="148" t="s">
        <v>344</v>
      </c>
      <c r="AE88" s="180" t="s">
        <v>344</v>
      </c>
      <c r="AF88" s="180" t="s">
        <v>344</v>
      </c>
    </row>
    <row r="89" spans="1:32" s="149" customFormat="1" ht="12.6">
      <c r="A89" s="147"/>
      <c r="B89" s="143" t="s">
        <v>1464</v>
      </c>
      <c r="C89" s="143" t="s">
        <v>1465</v>
      </c>
      <c r="D89" s="143" t="s">
        <v>13</v>
      </c>
      <c r="E89" s="144">
        <v>40</v>
      </c>
      <c r="F89" s="144"/>
      <c r="G89" s="143"/>
      <c r="H89" s="143"/>
      <c r="I89" s="144"/>
      <c r="J89" s="144"/>
      <c r="K89" s="144"/>
      <c r="L89" s="143" t="s">
        <v>211</v>
      </c>
      <c r="M89" s="143"/>
      <c r="N89" s="145" t="s">
        <v>354</v>
      </c>
      <c r="O89" s="146"/>
      <c r="P89" s="145"/>
      <c r="Q89" s="147"/>
      <c r="R89" s="163"/>
      <c r="S89" s="163"/>
      <c r="T89" s="160"/>
      <c r="U89" s="147"/>
      <c r="V89" s="180" t="s">
        <v>354</v>
      </c>
      <c r="W89" s="180" t="s">
        <v>354</v>
      </c>
      <c r="X89" s="180" t="s">
        <v>354</v>
      </c>
      <c r="Y89" s="180" t="s">
        <v>354</v>
      </c>
      <c r="Z89" s="148" t="s">
        <v>344</v>
      </c>
      <c r="AA89" s="148" t="s">
        <v>344</v>
      </c>
      <c r="AB89" s="180" t="s">
        <v>354</v>
      </c>
      <c r="AC89" s="180" t="s">
        <v>354</v>
      </c>
      <c r="AD89" s="148" t="s">
        <v>344</v>
      </c>
      <c r="AE89" s="180" t="s">
        <v>354</v>
      </c>
      <c r="AF89" s="180" t="s">
        <v>354</v>
      </c>
    </row>
    <row r="90" spans="1:32" s="149" customFormat="1" ht="12.6">
      <c r="A90" s="147"/>
      <c r="B90" s="143" t="s">
        <v>1466</v>
      </c>
      <c r="C90" s="143" t="s">
        <v>1467</v>
      </c>
      <c r="D90" s="143" t="s">
        <v>13</v>
      </c>
      <c r="E90" s="144">
        <v>40</v>
      </c>
      <c r="F90" s="144"/>
      <c r="G90" s="143"/>
      <c r="H90" s="143"/>
      <c r="I90" s="144"/>
      <c r="J90" s="144"/>
      <c r="K90" s="144"/>
      <c r="L90" s="143" t="s">
        <v>211</v>
      </c>
      <c r="M90" s="143"/>
      <c r="N90" s="145" t="s">
        <v>1468</v>
      </c>
      <c r="O90" s="146"/>
      <c r="P90" s="145"/>
      <c r="Q90" s="147"/>
      <c r="R90" s="163"/>
      <c r="S90" s="163"/>
      <c r="T90" s="160"/>
      <c r="U90" s="147"/>
      <c r="V90" s="180" t="s">
        <v>1468</v>
      </c>
      <c r="W90" s="180" t="s">
        <v>1468</v>
      </c>
      <c r="X90" s="180" t="s">
        <v>1468</v>
      </c>
      <c r="Y90" s="180" t="s">
        <v>1468</v>
      </c>
      <c r="Z90" s="148" t="s">
        <v>344</v>
      </c>
      <c r="AA90" s="148" t="s">
        <v>344</v>
      </c>
      <c r="AB90" s="180" t="s">
        <v>1468</v>
      </c>
      <c r="AC90" s="180" t="s">
        <v>1468</v>
      </c>
      <c r="AD90" s="148" t="s">
        <v>344</v>
      </c>
      <c r="AE90" s="180" t="s">
        <v>1468</v>
      </c>
      <c r="AF90" s="180" t="s">
        <v>1468</v>
      </c>
    </row>
    <row r="91" spans="1:32" s="149" customFormat="1" ht="12.6">
      <c r="A91" s="147"/>
      <c r="B91" s="143" t="s">
        <v>1469</v>
      </c>
      <c r="C91" s="143" t="s">
        <v>1470</v>
      </c>
      <c r="D91" s="143" t="s">
        <v>17</v>
      </c>
      <c r="E91" s="144">
        <v>8</v>
      </c>
      <c r="F91" s="144"/>
      <c r="G91" s="143"/>
      <c r="H91" s="143"/>
      <c r="I91" s="144"/>
      <c r="J91" s="144"/>
      <c r="K91" s="144"/>
      <c r="L91" s="143" t="s">
        <v>242</v>
      </c>
      <c r="M91" s="143"/>
      <c r="N91" s="145" t="s">
        <v>344</v>
      </c>
      <c r="O91" s="146"/>
      <c r="P91" s="145"/>
      <c r="Q91" s="147"/>
      <c r="R91" s="163"/>
      <c r="S91" s="163"/>
      <c r="T91" s="160"/>
      <c r="U91" s="147"/>
      <c r="V91" s="180" t="s">
        <v>344</v>
      </c>
      <c r="W91" s="180" t="s">
        <v>344</v>
      </c>
      <c r="X91" s="180" t="s">
        <v>344</v>
      </c>
      <c r="Y91" s="180" t="s">
        <v>344</v>
      </c>
      <c r="Z91" s="148" t="s">
        <v>344</v>
      </c>
      <c r="AA91" s="148" t="s">
        <v>344</v>
      </c>
      <c r="AB91" s="180" t="s">
        <v>344</v>
      </c>
      <c r="AC91" s="180" t="s">
        <v>344</v>
      </c>
      <c r="AD91" s="148" t="s">
        <v>344</v>
      </c>
      <c r="AE91" s="180" t="s">
        <v>344</v>
      </c>
      <c r="AF91" s="180" t="s">
        <v>344</v>
      </c>
    </row>
    <row r="92" spans="1:32" s="149" customFormat="1" ht="12.6">
      <c r="A92" s="147"/>
      <c r="B92" s="143" t="s">
        <v>1471</v>
      </c>
      <c r="C92" s="143" t="s">
        <v>1472</v>
      </c>
      <c r="D92" s="143" t="s">
        <v>13</v>
      </c>
      <c r="E92" s="144">
        <v>20</v>
      </c>
      <c r="F92" s="144"/>
      <c r="G92" s="143"/>
      <c r="H92" s="143"/>
      <c r="I92" s="144"/>
      <c r="J92" s="144"/>
      <c r="K92" s="144"/>
      <c r="L92" s="143" t="s">
        <v>289</v>
      </c>
      <c r="M92" s="143"/>
      <c r="N92" s="145" t="s">
        <v>355</v>
      </c>
      <c r="O92" s="146"/>
      <c r="P92" s="145"/>
      <c r="Q92" s="147"/>
      <c r="R92" s="163"/>
      <c r="S92" s="163"/>
      <c r="T92" s="160"/>
      <c r="U92" s="147"/>
      <c r="V92" s="180" t="s">
        <v>355</v>
      </c>
      <c r="W92" s="180" t="s">
        <v>355</v>
      </c>
      <c r="X92" s="180" t="s">
        <v>355</v>
      </c>
      <c r="Y92" s="180" t="s">
        <v>355</v>
      </c>
      <c r="Z92" s="148" t="s">
        <v>344</v>
      </c>
      <c r="AA92" s="148" t="s">
        <v>344</v>
      </c>
      <c r="AB92" s="180" t="s">
        <v>355</v>
      </c>
      <c r="AC92" s="180" t="s">
        <v>355</v>
      </c>
      <c r="AD92" s="148" t="s">
        <v>344</v>
      </c>
      <c r="AE92" s="180" t="s">
        <v>355</v>
      </c>
      <c r="AF92" s="180" t="s">
        <v>355</v>
      </c>
    </row>
    <row r="93" spans="1:32" s="149" customFormat="1" ht="12.6">
      <c r="A93" s="147"/>
      <c r="B93" s="143" t="s">
        <v>1473</v>
      </c>
      <c r="C93" s="143" t="s">
        <v>1474</v>
      </c>
      <c r="D93" s="143" t="s">
        <v>13</v>
      </c>
      <c r="E93" s="144" t="s">
        <v>48</v>
      </c>
      <c r="F93" s="144"/>
      <c r="G93" s="143"/>
      <c r="H93" s="143"/>
      <c r="I93" s="144"/>
      <c r="J93" s="144"/>
      <c r="K93" s="144"/>
      <c r="L93" s="143" t="s">
        <v>237</v>
      </c>
      <c r="M93" s="143"/>
      <c r="N93" s="145" t="s">
        <v>344</v>
      </c>
      <c r="O93" s="146"/>
      <c r="P93" s="145"/>
      <c r="Q93" s="147"/>
      <c r="R93" s="163"/>
      <c r="S93" s="163"/>
      <c r="T93" s="160"/>
      <c r="U93" s="147"/>
      <c r="V93" s="180" t="s">
        <v>344</v>
      </c>
      <c r="W93" s="180" t="s">
        <v>344</v>
      </c>
      <c r="X93" s="180" t="s">
        <v>344</v>
      </c>
      <c r="Y93" s="180" t="s">
        <v>344</v>
      </c>
      <c r="Z93" s="148" t="s">
        <v>344</v>
      </c>
      <c r="AA93" s="148" t="s">
        <v>344</v>
      </c>
      <c r="AB93" s="180" t="s">
        <v>344</v>
      </c>
      <c r="AC93" s="180" t="s">
        <v>344</v>
      </c>
      <c r="AD93" s="148" t="s">
        <v>344</v>
      </c>
      <c r="AE93" s="180" t="s">
        <v>344</v>
      </c>
      <c r="AF93" s="180" t="s">
        <v>344</v>
      </c>
    </row>
    <row r="94" spans="1:32" s="114" customFormat="1" ht="12.6">
      <c r="A94" s="119"/>
      <c r="B94" s="115" t="s">
        <v>1377</v>
      </c>
      <c r="C94" s="115" t="s">
        <v>1503</v>
      </c>
      <c r="D94" s="46" t="s">
        <v>17</v>
      </c>
      <c r="E94" s="47">
        <v>8</v>
      </c>
      <c r="F94" s="116"/>
      <c r="G94" s="46" t="s">
        <v>134</v>
      </c>
      <c r="H94" s="115"/>
      <c r="I94" s="116"/>
      <c r="J94" s="116"/>
      <c r="K94" s="116"/>
      <c r="L94" s="115"/>
      <c r="M94" s="115"/>
      <c r="N94" s="117" t="s">
        <v>355</v>
      </c>
      <c r="O94" s="118"/>
      <c r="P94" s="117"/>
      <c r="Q94" s="119"/>
      <c r="R94" s="164" t="s">
        <v>1861</v>
      </c>
      <c r="S94" s="164" t="s">
        <v>136</v>
      </c>
      <c r="T94" s="161"/>
      <c r="U94" s="119"/>
      <c r="V94" s="245" t="s">
        <v>1378</v>
      </c>
      <c r="W94" s="246"/>
      <c r="X94" s="246"/>
      <c r="Y94" s="247"/>
      <c r="Z94" s="181" t="s">
        <v>1378</v>
      </c>
      <c r="AA94" s="181" t="s">
        <v>1378</v>
      </c>
      <c r="AB94" s="181" t="s">
        <v>1378</v>
      </c>
      <c r="AC94" s="181" t="s">
        <v>1378</v>
      </c>
      <c r="AD94" s="181" t="s">
        <v>1378</v>
      </c>
      <c r="AE94" s="181" t="s">
        <v>1378</v>
      </c>
      <c r="AF94" s="182" t="s">
        <v>1378</v>
      </c>
    </row>
    <row r="95" spans="1:32" s="114" customFormat="1" ht="12.6">
      <c r="A95" s="119"/>
      <c r="B95" s="115" t="s">
        <v>309</v>
      </c>
      <c r="C95" s="115" t="s">
        <v>1504</v>
      </c>
      <c r="D95" s="135" t="s">
        <v>13</v>
      </c>
      <c r="E95" s="47">
        <v>40</v>
      </c>
      <c r="F95" s="116"/>
      <c r="G95" s="115"/>
      <c r="H95" s="115"/>
      <c r="I95" s="116"/>
      <c r="J95" s="116"/>
      <c r="K95" s="116"/>
      <c r="L95" s="46" t="s">
        <v>211</v>
      </c>
      <c r="M95" s="115"/>
      <c r="N95" s="117" t="s">
        <v>354</v>
      </c>
      <c r="O95" s="118"/>
      <c r="P95" s="117"/>
      <c r="Q95" s="119"/>
      <c r="R95" s="164" t="s">
        <v>1861</v>
      </c>
      <c r="S95" s="164" t="s">
        <v>136</v>
      </c>
      <c r="T95" s="161"/>
      <c r="U95" s="119"/>
      <c r="V95" s="245" t="s">
        <v>1379</v>
      </c>
      <c r="W95" s="246"/>
      <c r="X95" s="246"/>
      <c r="Y95" s="247"/>
      <c r="Z95" s="181" t="s">
        <v>1379</v>
      </c>
      <c r="AA95" s="181" t="s">
        <v>1379</v>
      </c>
      <c r="AB95" s="181" t="s">
        <v>1379</v>
      </c>
      <c r="AC95" s="181" t="s">
        <v>1379</v>
      </c>
      <c r="AD95" s="181" t="s">
        <v>1379</v>
      </c>
      <c r="AE95" s="181" t="s">
        <v>1379</v>
      </c>
      <c r="AF95" s="182" t="s">
        <v>1379</v>
      </c>
    </row>
    <row r="96" spans="1:32" s="92" customFormat="1" ht="12.6">
      <c r="A96" s="93"/>
      <c r="B96" s="46" t="s">
        <v>287</v>
      </c>
      <c r="C96" s="46" t="s">
        <v>16</v>
      </c>
      <c r="D96" s="46" t="s">
        <v>17</v>
      </c>
      <c r="E96" s="47">
        <v>8</v>
      </c>
      <c r="F96" s="47"/>
      <c r="G96" s="46" t="s">
        <v>134</v>
      </c>
      <c r="H96" s="46"/>
      <c r="I96" s="47"/>
      <c r="J96" s="47"/>
      <c r="K96" s="47"/>
      <c r="L96" s="46"/>
      <c r="M96" s="46"/>
      <c r="N96" s="49" t="s">
        <v>287</v>
      </c>
      <c r="O96" s="48"/>
      <c r="P96" s="49"/>
      <c r="Q96" s="93"/>
      <c r="R96" s="164" t="s">
        <v>1861</v>
      </c>
      <c r="S96" s="162" t="s">
        <v>136</v>
      </c>
      <c r="T96" s="159"/>
      <c r="U96" s="93"/>
      <c r="V96" s="231" t="s">
        <v>287</v>
      </c>
      <c r="W96" s="232"/>
      <c r="X96" s="232"/>
      <c r="Y96" s="233"/>
      <c r="Z96" s="173" t="s">
        <v>287</v>
      </c>
      <c r="AA96" s="173" t="s">
        <v>287</v>
      </c>
      <c r="AB96" s="173" t="s">
        <v>287</v>
      </c>
      <c r="AC96" s="173" t="s">
        <v>287</v>
      </c>
      <c r="AD96" s="173" t="s">
        <v>287</v>
      </c>
      <c r="AE96" s="173" t="s">
        <v>287</v>
      </c>
      <c r="AF96" s="91" t="s">
        <v>287</v>
      </c>
    </row>
    <row r="97" spans="1:32" s="92" customFormat="1" ht="12.6">
      <c r="A97" s="93"/>
      <c r="B97" s="46" t="s">
        <v>288</v>
      </c>
      <c r="C97" s="46" t="s">
        <v>18</v>
      </c>
      <c r="D97" s="46" t="s">
        <v>17</v>
      </c>
      <c r="E97" s="47">
        <v>8</v>
      </c>
      <c r="F97" s="47"/>
      <c r="G97" s="46" t="s">
        <v>134</v>
      </c>
      <c r="H97" s="46"/>
      <c r="I97" s="47"/>
      <c r="J97" s="47"/>
      <c r="K97" s="47"/>
      <c r="L97" s="46"/>
      <c r="M97" s="46"/>
      <c r="N97" s="49" t="s">
        <v>288</v>
      </c>
      <c r="O97" s="48"/>
      <c r="P97" s="49"/>
      <c r="Q97" s="93"/>
      <c r="R97" s="164" t="s">
        <v>1861</v>
      </c>
      <c r="S97" s="162" t="s">
        <v>136</v>
      </c>
      <c r="T97" s="159"/>
      <c r="U97" s="93"/>
      <c r="V97" s="231" t="s">
        <v>288</v>
      </c>
      <c r="W97" s="232"/>
      <c r="X97" s="232"/>
      <c r="Y97" s="233"/>
      <c r="Z97" s="173" t="s">
        <v>288</v>
      </c>
      <c r="AA97" s="173" t="s">
        <v>288</v>
      </c>
      <c r="AB97" s="173" t="s">
        <v>288</v>
      </c>
      <c r="AC97" s="173" t="s">
        <v>288</v>
      </c>
      <c r="AD97" s="173" t="s">
        <v>288</v>
      </c>
      <c r="AE97" s="173" t="s">
        <v>288</v>
      </c>
      <c r="AF97" s="91" t="s">
        <v>288</v>
      </c>
    </row>
    <row r="98" spans="1:32" s="92" customFormat="1" ht="12.6">
      <c r="A98" s="93"/>
      <c r="B98" s="46" t="s">
        <v>19</v>
      </c>
      <c r="C98" s="46" t="s">
        <v>20</v>
      </c>
      <c r="D98" s="135" t="s">
        <v>13</v>
      </c>
      <c r="E98" s="47">
        <v>40</v>
      </c>
      <c r="F98" s="47"/>
      <c r="G98" s="46"/>
      <c r="H98" s="46"/>
      <c r="I98" s="47"/>
      <c r="J98" s="47"/>
      <c r="K98" s="47"/>
      <c r="L98" s="46" t="s">
        <v>211</v>
      </c>
      <c r="M98" s="46"/>
      <c r="N98" s="49" t="s">
        <v>19</v>
      </c>
      <c r="O98" s="48"/>
      <c r="P98" s="49"/>
      <c r="Q98" s="93"/>
      <c r="R98" s="164" t="s">
        <v>1861</v>
      </c>
      <c r="S98" s="162" t="s">
        <v>136</v>
      </c>
      <c r="T98" s="159"/>
      <c r="U98" s="93"/>
      <c r="V98" s="231" t="s">
        <v>19</v>
      </c>
      <c r="W98" s="232"/>
      <c r="X98" s="232"/>
      <c r="Y98" s="233"/>
      <c r="Z98" s="173" t="s">
        <v>19</v>
      </c>
      <c r="AA98" s="173" t="s">
        <v>19</v>
      </c>
      <c r="AB98" s="173" t="s">
        <v>19</v>
      </c>
      <c r="AC98" s="173" t="s">
        <v>19</v>
      </c>
      <c r="AD98" s="173" t="s">
        <v>19</v>
      </c>
      <c r="AE98" s="173" t="s">
        <v>19</v>
      </c>
      <c r="AF98" s="91" t="s">
        <v>19</v>
      </c>
    </row>
    <row r="99" spans="1:32" s="92" customFormat="1" ht="12.6">
      <c r="A99" s="93"/>
      <c r="B99" s="46" t="s">
        <v>21</v>
      </c>
      <c r="C99" s="46" t="s">
        <v>22</v>
      </c>
      <c r="D99" s="135" t="s">
        <v>13</v>
      </c>
      <c r="E99" s="47">
        <v>40</v>
      </c>
      <c r="F99" s="47"/>
      <c r="G99" s="46"/>
      <c r="H99" s="46"/>
      <c r="I99" s="47"/>
      <c r="J99" s="47"/>
      <c r="K99" s="47"/>
      <c r="L99" s="46" t="s">
        <v>211</v>
      </c>
      <c r="M99" s="46"/>
      <c r="N99" s="49" t="s">
        <v>21</v>
      </c>
      <c r="O99" s="48"/>
      <c r="P99" s="49"/>
      <c r="Q99" s="93"/>
      <c r="R99" s="164" t="s">
        <v>1861</v>
      </c>
      <c r="S99" s="162" t="s">
        <v>136</v>
      </c>
      <c r="T99" s="159"/>
      <c r="U99" s="93"/>
      <c r="V99" s="231" t="s">
        <v>21</v>
      </c>
      <c r="W99" s="232"/>
      <c r="X99" s="232"/>
      <c r="Y99" s="233"/>
      <c r="Z99" s="173" t="s">
        <v>21</v>
      </c>
      <c r="AA99" s="173" t="s">
        <v>21</v>
      </c>
      <c r="AB99" s="173" t="s">
        <v>21</v>
      </c>
      <c r="AC99" s="173" t="s">
        <v>21</v>
      </c>
      <c r="AD99" s="173" t="s">
        <v>21</v>
      </c>
      <c r="AE99" s="173" t="s">
        <v>21</v>
      </c>
      <c r="AF99" s="91" t="s">
        <v>21</v>
      </c>
    </row>
    <row r="100" spans="1:32" s="92" customFormat="1" ht="25.2">
      <c r="A100" s="93"/>
      <c r="B100" s="46" t="s">
        <v>45</v>
      </c>
      <c r="C100" s="46" t="s">
        <v>46</v>
      </c>
      <c r="D100" s="46" t="s">
        <v>13</v>
      </c>
      <c r="E100" s="47">
        <v>10</v>
      </c>
      <c r="F100" s="47"/>
      <c r="G100" s="46"/>
      <c r="H100" s="46"/>
      <c r="I100" s="47"/>
      <c r="J100" s="47"/>
      <c r="K100" s="47"/>
      <c r="L100" s="46" t="s">
        <v>290</v>
      </c>
      <c r="M100" s="46"/>
      <c r="N100" s="49" t="s">
        <v>45</v>
      </c>
      <c r="O100" s="48" t="s">
        <v>63</v>
      </c>
      <c r="P100" s="49" t="s">
        <v>1406</v>
      </c>
      <c r="Q100" s="93"/>
      <c r="R100" s="162" t="s">
        <v>136</v>
      </c>
      <c r="S100" s="162" t="s">
        <v>136</v>
      </c>
      <c r="T100" s="159"/>
      <c r="U100" s="93"/>
      <c r="V100" s="228" t="s">
        <v>45</v>
      </c>
      <c r="W100" s="229"/>
      <c r="X100" s="229"/>
      <c r="Y100" s="230"/>
      <c r="Z100" s="170" t="s">
        <v>45</v>
      </c>
      <c r="AA100" s="170" t="s">
        <v>45</v>
      </c>
      <c r="AB100" s="170" t="s">
        <v>45</v>
      </c>
      <c r="AC100" s="170" t="s">
        <v>45</v>
      </c>
      <c r="AD100" s="170" t="s">
        <v>45</v>
      </c>
      <c r="AE100" s="170" t="s">
        <v>45</v>
      </c>
      <c r="AF100" s="174" t="s">
        <v>45</v>
      </c>
    </row>
    <row r="101" spans="1:32" s="92" customFormat="1" ht="12.6">
      <c r="A101" s="93"/>
      <c r="B101" s="46"/>
      <c r="C101" s="46"/>
      <c r="D101" s="46"/>
      <c r="E101" s="47"/>
      <c r="F101" s="47"/>
      <c r="G101" s="46"/>
      <c r="H101" s="46"/>
      <c r="I101" s="47"/>
      <c r="J101" s="47"/>
      <c r="K101" s="47"/>
      <c r="L101" s="46"/>
      <c r="M101" s="46"/>
      <c r="N101" s="49"/>
      <c r="O101" s="48"/>
      <c r="P101" s="49"/>
      <c r="Q101" s="93"/>
      <c r="R101" s="162"/>
      <c r="S101" s="162"/>
      <c r="T101" s="159" t="s">
        <v>1891</v>
      </c>
      <c r="U101" s="93"/>
      <c r="V101" s="228"/>
      <c r="W101" s="229"/>
      <c r="X101" s="229"/>
      <c r="Y101" s="229"/>
      <c r="Z101" s="230"/>
      <c r="AA101" s="49"/>
      <c r="AB101" s="49"/>
      <c r="AC101" s="49"/>
      <c r="AD101" s="49"/>
      <c r="AE101" s="49"/>
      <c r="AF101" s="49"/>
    </row>
    <row r="102" spans="1:3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row>
    <row r="103" spans="1:32">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row>
    <row r="104" spans="1:32">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row>
  </sheetData>
  <mergeCells count="67">
    <mergeCell ref="V96:Y96"/>
    <mergeCell ref="V95:Y95"/>
    <mergeCell ref="V94:Y94"/>
    <mergeCell ref="V27:Y27"/>
    <mergeCell ref="V31:Y31"/>
    <mergeCell ref="V51:Y51"/>
    <mergeCell ref="V52:Y52"/>
    <mergeCell ref="V53:Y53"/>
    <mergeCell ref="V33:Y33"/>
    <mergeCell ref="V32:Y32"/>
    <mergeCell ref="V67:Y67"/>
    <mergeCell ref="V68:Y68"/>
    <mergeCell ref="V69:Y69"/>
    <mergeCell ref="V48:Y48"/>
    <mergeCell ref="V49:Y49"/>
    <mergeCell ref="V50:Y50"/>
    <mergeCell ref="V10:AF10"/>
    <mergeCell ref="V11:Y11"/>
    <mergeCell ref="V16:Y16"/>
    <mergeCell ref="V58:Y58"/>
    <mergeCell ref="V59:Y59"/>
    <mergeCell ref="V19:Y19"/>
    <mergeCell ref="V30:Y30"/>
    <mergeCell ref="V29:Y29"/>
    <mergeCell ref="V44:Y44"/>
    <mergeCell ref="V24:Y24"/>
    <mergeCell ref="V21:Y21"/>
    <mergeCell ref="V23:Y23"/>
    <mergeCell ref="V45:Y45"/>
    <mergeCell ref="V46:Y46"/>
    <mergeCell ref="V26:Y26"/>
    <mergeCell ref="V47:Y47"/>
    <mergeCell ref="D5:F5"/>
    <mergeCell ref="H5:P5"/>
    <mergeCell ref="D6:F6"/>
    <mergeCell ref="H6:P6"/>
    <mergeCell ref="V9:AF9"/>
    <mergeCell ref="V101:Z101"/>
    <mergeCell ref="V100:Y100"/>
    <mergeCell ref="V99:Y99"/>
    <mergeCell ref="V98:Y98"/>
    <mergeCell ref="V97:Y97"/>
    <mergeCell ref="V86:Y86"/>
    <mergeCell ref="V87:Y87"/>
    <mergeCell ref="V80:Y80"/>
    <mergeCell ref="V75:Y75"/>
    <mergeCell ref="V76:Y76"/>
    <mergeCell ref="V77:Y77"/>
    <mergeCell ref="V78:Y78"/>
    <mergeCell ref="V79:Y79"/>
    <mergeCell ref="V81:Y81"/>
    <mergeCell ref="V82:Y82"/>
    <mergeCell ref="V83:Y83"/>
    <mergeCell ref="V84:Y84"/>
    <mergeCell ref="V85:Y85"/>
    <mergeCell ref="V60:Y60"/>
    <mergeCell ref="V61:Y61"/>
    <mergeCell ref="V72:Y72"/>
    <mergeCell ref="V73:Y73"/>
    <mergeCell ref="V74:Y74"/>
    <mergeCell ref="V70:Y70"/>
    <mergeCell ref="V64:Y64"/>
    <mergeCell ref="V65:Y65"/>
    <mergeCell ref="V66:Y66"/>
    <mergeCell ref="V71:Y71"/>
    <mergeCell ref="V62:Y62"/>
    <mergeCell ref="V63:Y63"/>
  </mergeCells>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62A59-92A1-4F2E-88C8-E49977611B80}">
  <sheetPr codeName="Sheet6">
    <tabColor theme="7" tint="0.79998168889431442"/>
  </sheetPr>
  <dimension ref="A2:Z102"/>
  <sheetViews>
    <sheetView showGridLines="0" workbookViewId="0">
      <pane xSplit="3" ySplit="8" topLeftCell="D9" activePane="bottomRight" state="frozen"/>
      <selection activeCell="D20" sqref="D20"/>
      <selection pane="topRight" activeCell="D20" sqref="D20"/>
      <selection pane="bottomLeft" activeCell="D20" sqref="D20"/>
      <selection pane="bottomRight" activeCell="L13" sqref="L13"/>
    </sheetView>
  </sheetViews>
  <sheetFormatPr defaultColWidth="8.90625" defaultRowHeight="15"/>
  <cols>
    <col min="1" max="1" width="2.54296875" style="44" customWidth="1"/>
    <col min="2" max="3" width="22.81640625" style="44" customWidth="1"/>
    <col min="4" max="4" width="7.1796875" style="44" bestFit="1" customWidth="1"/>
    <col min="5" max="5" width="5.1796875" style="44" customWidth="1"/>
    <col min="6" max="6" width="4.453125" style="44" customWidth="1"/>
    <col min="7" max="7" width="15.36328125" style="44" bestFit="1" customWidth="1"/>
    <col min="8" max="8" width="4.453125" style="44" customWidth="1"/>
    <col min="9" max="9" width="3.08984375" style="44" bestFit="1" customWidth="1"/>
    <col min="10" max="10" width="3.1796875" style="44" bestFit="1" customWidth="1"/>
    <col min="11" max="11" width="3" style="44" bestFit="1" customWidth="1"/>
    <col min="12" max="12" width="12" style="44" bestFit="1" customWidth="1"/>
    <col min="13" max="13" width="4.453125" style="44" customWidth="1"/>
    <col min="14" max="14" width="30.453125" style="44" customWidth="1"/>
    <col min="15" max="15" width="27.36328125" style="44" customWidth="1"/>
    <col min="16" max="16" width="33.36328125" style="44" customWidth="1"/>
    <col min="17" max="17" width="2.36328125" style="44" customWidth="1"/>
    <col min="18" max="18" width="6.54296875" style="44" customWidth="1"/>
    <col min="19" max="23" width="20.6328125" style="44" customWidth="1"/>
    <col min="24" max="16384" width="8.90625" style="44"/>
  </cols>
  <sheetData>
    <row r="2" spans="1:26">
      <c r="A2" s="89"/>
      <c r="B2" s="112" t="s">
        <v>38</v>
      </c>
      <c r="C2" s="89"/>
      <c r="D2" s="89"/>
      <c r="E2" s="89"/>
      <c r="F2" s="89"/>
      <c r="G2" s="89"/>
      <c r="H2" s="89"/>
      <c r="I2" s="89"/>
      <c r="J2" s="89"/>
      <c r="K2" s="89"/>
      <c r="L2" s="89"/>
      <c r="M2" s="89"/>
      <c r="N2" s="89"/>
      <c r="O2" s="89"/>
      <c r="P2" s="89"/>
      <c r="Q2" s="89"/>
      <c r="R2" s="89"/>
      <c r="S2" s="89"/>
      <c r="T2" s="89"/>
      <c r="U2" s="89"/>
      <c r="V2" s="89"/>
      <c r="W2" s="89"/>
      <c r="X2" s="89"/>
      <c r="Y2" s="89"/>
      <c r="Z2" s="89"/>
    </row>
    <row r="3" spans="1:26" ht="7.5" customHeight="1">
      <c r="A3" s="74"/>
      <c r="B3" s="74"/>
      <c r="C3" s="74"/>
      <c r="D3" s="74"/>
      <c r="E3" s="74"/>
      <c r="F3" s="74"/>
      <c r="G3" s="74"/>
      <c r="H3" s="74"/>
      <c r="I3" s="74"/>
      <c r="J3" s="74"/>
      <c r="K3" s="74"/>
      <c r="L3" s="74"/>
      <c r="M3" s="74"/>
      <c r="N3" s="74"/>
      <c r="O3" s="74"/>
      <c r="P3" s="74"/>
      <c r="Q3" s="74"/>
      <c r="R3" s="74"/>
      <c r="S3" s="74"/>
      <c r="T3" s="74"/>
      <c r="U3" s="74"/>
      <c r="V3" s="74"/>
      <c r="W3" s="74"/>
      <c r="X3" s="74"/>
      <c r="Y3" s="74"/>
      <c r="Z3" s="74"/>
    </row>
    <row r="5" spans="1:26">
      <c r="B5" s="17" t="s">
        <v>30</v>
      </c>
      <c r="C5" s="17" t="s">
        <v>31</v>
      </c>
      <c r="D5" s="266" t="s">
        <v>37</v>
      </c>
      <c r="E5" s="267"/>
      <c r="F5" s="268"/>
      <c r="G5" s="17" t="s">
        <v>74</v>
      </c>
      <c r="H5" s="266" t="s">
        <v>85</v>
      </c>
      <c r="I5" s="267"/>
      <c r="J5" s="267"/>
      <c r="K5" s="267"/>
      <c r="L5" s="267"/>
      <c r="M5" s="267"/>
      <c r="N5" s="267"/>
      <c r="O5" s="267"/>
      <c r="P5" s="268"/>
    </row>
    <row r="6" spans="1:26">
      <c r="B6" s="30" t="s">
        <v>112</v>
      </c>
      <c r="C6" s="30" t="s">
        <v>402</v>
      </c>
      <c r="D6" s="237" t="s">
        <v>1824</v>
      </c>
      <c r="E6" s="238"/>
      <c r="F6" s="239"/>
      <c r="G6" s="45" t="s">
        <v>75</v>
      </c>
      <c r="H6" s="240" t="s">
        <v>174</v>
      </c>
      <c r="I6" s="241"/>
      <c r="J6" s="241"/>
      <c r="K6" s="241"/>
      <c r="L6" s="241"/>
      <c r="M6" s="241"/>
      <c r="N6" s="241"/>
      <c r="O6" s="241"/>
      <c r="P6" s="242"/>
      <c r="S6" s="44" t="s">
        <v>109</v>
      </c>
    </row>
    <row r="8" spans="1:26" s="90" customFormat="1">
      <c r="B8" s="17" t="s">
        <v>32</v>
      </c>
      <c r="C8" s="17" t="s">
        <v>33</v>
      </c>
      <c r="D8" s="17" t="s">
        <v>34</v>
      </c>
      <c r="E8" s="109" t="s">
        <v>10</v>
      </c>
      <c r="F8" s="110" t="s">
        <v>23</v>
      </c>
      <c r="G8" s="110" t="s">
        <v>24</v>
      </c>
      <c r="H8" s="110" t="s">
        <v>25</v>
      </c>
      <c r="I8" s="110" t="s">
        <v>26</v>
      </c>
      <c r="J8" s="110" t="s">
        <v>27</v>
      </c>
      <c r="K8" s="110" t="s">
        <v>28</v>
      </c>
      <c r="L8" s="110" t="s">
        <v>29</v>
      </c>
      <c r="M8" s="110" t="s">
        <v>11</v>
      </c>
      <c r="N8" s="17" t="s">
        <v>35</v>
      </c>
      <c r="O8" s="17" t="s">
        <v>36</v>
      </c>
      <c r="P8" s="17" t="s">
        <v>12</v>
      </c>
      <c r="S8" s="88" t="s">
        <v>1371</v>
      </c>
      <c r="T8" s="25" t="s">
        <v>357</v>
      </c>
      <c r="U8" s="25" t="s">
        <v>358</v>
      </c>
      <c r="V8" s="111" t="s">
        <v>1364</v>
      </c>
      <c r="W8" s="17" t="s">
        <v>1315</v>
      </c>
    </row>
    <row r="9" spans="1:26" s="90" customFormat="1" ht="12.6">
      <c r="B9" s="46" t="s">
        <v>403</v>
      </c>
      <c r="C9" s="46" t="s">
        <v>169</v>
      </c>
      <c r="D9" s="46" t="s">
        <v>64</v>
      </c>
      <c r="E9" s="47">
        <v>16</v>
      </c>
      <c r="F9" s="47"/>
      <c r="G9" s="46"/>
      <c r="H9" s="46"/>
      <c r="I9" s="47" t="s">
        <v>14</v>
      </c>
      <c r="J9" s="47" t="s">
        <v>14</v>
      </c>
      <c r="K9" s="47"/>
      <c r="L9" s="46"/>
      <c r="M9" s="46" t="s">
        <v>14</v>
      </c>
      <c r="N9" s="48" t="s">
        <v>356</v>
      </c>
      <c r="O9" s="49"/>
      <c r="P9" s="49" t="s">
        <v>359</v>
      </c>
      <c r="S9" s="228" t="s">
        <v>359</v>
      </c>
      <c r="T9" s="229"/>
      <c r="U9" s="229"/>
      <c r="V9" s="230"/>
      <c r="W9" s="49"/>
    </row>
    <row r="10" spans="1:26" s="90" customFormat="1" ht="12.6">
      <c r="B10" s="46" t="s">
        <v>175</v>
      </c>
      <c r="C10" s="46" t="s">
        <v>176</v>
      </c>
      <c r="D10" s="46" t="s">
        <v>13</v>
      </c>
      <c r="E10" s="47">
        <v>40</v>
      </c>
      <c r="F10" s="47"/>
      <c r="G10" s="46"/>
      <c r="H10" s="46"/>
      <c r="I10" s="47"/>
      <c r="J10" s="47"/>
      <c r="K10" s="47"/>
      <c r="L10" s="46" t="s">
        <v>177</v>
      </c>
      <c r="M10" s="46" t="s">
        <v>14</v>
      </c>
      <c r="N10" s="48" t="s">
        <v>356</v>
      </c>
      <c r="O10" s="49"/>
      <c r="P10" s="49" t="s">
        <v>359</v>
      </c>
      <c r="S10" s="269" t="s">
        <v>359</v>
      </c>
      <c r="T10" s="269"/>
      <c r="U10" s="269"/>
      <c r="V10" s="269"/>
      <c r="W10" s="49"/>
    </row>
    <row r="11" spans="1:26" s="90" customFormat="1" ht="12.6">
      <c r="B11" s="46" t="s">
        <v>178</v>
      </c>
      <c r="C11" s="46" t="s">
        <v>42</v>
      </c>
      <c r="D11" s="46" t="s">
        <v>13</v>
      </c>
      <c r="E11" s="47">
        <v>8</v>
      </c>
      <c r="F11" s="47"/>
      <c r="G11" s="46"/>
      <c r="H11" s="46"/>
      <c r="I11" s="47"/>
      <c r="J11" s="47"/>
      <c r="K11" s="47"/>
      <c r="L11" s="46" t="s">
        <v>179</v>
      </c>
      <c r="M11" s="46"/>
      <c r="N11" s="49" t="s">
        <v>178</v>
      </c>
      <c r="O11" s="49"/>
      <c r="P11" s="49" t="s">
        <v>360</v>
      </c>
      <c r="S11" s="269" t="s">
        <v>360</v>
      </c>
      <c r="T11" s="269"/>
      <c r="U11" s="269"/>
      <c r="V11" s="269"/>
      <c r="W11" s="49"/>
    </row>
    <row r="12" spans="1:26" s="90" customFormat="1" ht="12.6">
      <c r="B12" s="46" t="s">
        <v>180</v>
      </c>
      <c r="C12" s="46" t="s">
        <v>181</v>
      </c>
      <c r="D12" s="46" t="s">
        <v>13</v>
      </c>
      <c r="E12" s="47">
        <v>8</v>
      </c>
      <c r="F12" s="47"/>
      <c r="G12" s="46"/>
      <c r="H12" s="46"/>
      <c r="I12" s="47"/>
      <c r="J12" s="47"/>
      <c r="K12" s="47"/>
      <c r="L12" s="46" t="s">
        <v>182</v>
      </c>
      <c r="M12" s="46"/>
      <c r="N12" s="49" t="s">
        <v>344</v>
      </c>
      <c r="O12" s="49"/>
      <c r="P12" s="49" t="s">
        <v>344</v>
      </c>
      <c r="S12" s="254" t="s">
        <v>344</v>
      </c>
      <c r="T12" s="255"/>
      <c r="U12" s="255"/>
      <c r="V12" s="256"/>
      <c r="W12" s="49"/>
    </row>
    <row r="13" spans="1:26" s="90" customFormat="1" ht="32.4">
      <c r="B13" s="46" t="s">
        <v>183</v>
      </c>
      <c r="C13" s="46" t="s">
        <v>184</v>
      </c>
      <c r="D13" s="46" t="s">
        <v>13</v>
      </c>
      <c r="E13" s="47">
        <v>60</v>
      </c>
      <c r="F13" s="47"/>
      <c r="G13" s="46"/>
      <c r="H13" s="46"/>
      <c r="I13" s="47"/>
      <c r="J13" s="47"/>
      <c r="K13" s="47"/>
      <c r="L13" s="46" t="s">
        <v>1906</v>
      </c>
      <c r="M13" s="46"/>
      <c r="N13" s="49" t="s">
        <v>183</v>
      </c>
      <c r="O13" s="49"/>
      <c r="P13" s="49"/>
      <c r="S13" s="95" t="s">
        <v>1370</v>
      </c>
      <c r="T13" s="95" t="s">
        <v>1317</v>
      </c>
      <c r="U13" s="95" t="s">
        <v>1317</v>
      </c>
      <c r="V13" s="95" t="s">
        <v>1373</v>
      </c>
      <c r="W13" s="49"/>
    </row>
    <row r="14" spans="1:26" s="90" customFormat="1" ht="21.6">
      <c r="B14" s="46" t="s">
        <v>185</v>
      </c>
      <c r="C14" s="46" t="s">
        <v>186</v>
      </c>
      <c r="D14" s="46" t="s">
        <v>13</v>
      </c>
      <c r="E14" s="47">
        <v>40</v>
      </c>
      <c r="F14" s="47"/>
      <c r="G14" s="46">
        <v>0</v>
      </c>
      <c r="H14" s="46"/>
      <c r="I14" s="47"/>
      <c r="J14" s="47"/>
      <c r="K14" s="47"/>
      <c r="L14" s="46" t="s">
        <v>177</v>
      </c>
      <c r="M14" s="46"/>
      <c r="N14" s="48" t="s">
        <v>185</v>
      </c>
      <c r="O14" s="49"/>
      <c r="P14" s="49" t="s">
        <v>388</v>
      </c>
      <c r="S14" s="95" t="s">
        <v>1372</v>
      </c>
      <c r="T14" s="95" t="s">
        <v>1317</v>
      </c>
      <c r="U14" s="95" t="s">
        <v>1317</v>
      </c>
      <c r="V14" s="95" t="s">
        <v>1372</v>
      </c>
      <c r="W14" s="49"/>
    </row>
    <row r="15" spans="1:26" s="90" customFormat="1" ht="37.799999999999997">
      <c r="B15" s="46" t="s">
        <v>187</v>
      </c>
      <c r="C15" s="46" t="s">
        <v>188</v>
      </c>
      <c r="D15" s="46" t="s">
        <v>13</v>
      </c>
      <c r="E15" s="47">
        <v>40</v>
      </c>
      <c r="F15" s="47"/>
      <c r="G15" s="46"/>
      <c r="H15" s="46"/>
      <c r="I15" s="47"/>
      <c r="J15" s="47"/>
      <c r="K15" s="47"/>
      <c r="L15" s="46" t="s">
        <v>177</v>
      </c>
      <c r="M15" s="46"/>
      <c r="N15" s="49" t="s">
        <v>345</v>
      </c>
      <c r="O15" s="91" t="s">
        <v>392</v>
      </c>
      <c r="P15" s="49" t="s">
        <v>389</v>
      </c>
      <c r="S15" s="263" t="s">
        <v>361</v>
      </c>
      <c r="T15" s="264"/>
      <c r="U15" s="264"/>
      <c r="V15" s="265"/>
      <c r="W15" s="49"/>
    </row>
    <row r="16" spans="1:26" s="90" customFormat="1" ht="50.4">
      <c r="B16" s="46" t="s">
        <v>189</v>
      </c>
      <c r="C16" s="46" t="s">
        <v>190</v>
      </c>
      <c r="D16" s="46" t="s">
        <v>13</v>
      </c>
      <c r="E16" s="47">
        <v>40</v>
      </c>
      <c r="F16" s="47"/>
      <c r="G16" s="46"/>
      <c r="H16" s="46"/>
      <c r="I16" s="47"/>
      <c r="J16" s="47"/>
      <c r="K16" s="47"/>
      <c r="L16" s="46" t="s">
        <v>177</v>
      </c>
      <c r="M16" s="46"/>
      <c r="N16" s="49" t="s">
        <v>189</v>
      </c>
      <c r="O16" s="48" t="s">
        <v>1405</v>
      </c>
      <c r="P16" s="49"/>
      <c r="S16" s="94" t="s">
        <v>362</v>
      </c>
      <c r="T16" s="94" t="s">
        <v>363</v>
      </c>
      <c r="U16" s="94" t="s">
        <v>364</v>
      </c>
      <c r="V16" s="87" t="s">
        <v>1365</v>
      </c>
      <c r="W16" s="49"/>
    </row>
    <row r="17" spans="2:23" s="90" customFormat="1" ht="100.8">
      <c r="B17" s="46" t="s">
        <v>214</v>
      </c>
      <c r="C17" s="46" t="s">
        <v>215</v>
      </c>
      <c r="D17" s="46" t="s">
        <v>13</v>
      </c>
      <c r="E17" s="47">
        <v>40</v>
      </c>
      <c r="F17" s="47"/>
      <c r="G17" s="46"/>
      <c r="H17" s="46"/>
      <c r="I17" s="47"/>
      <c r="J17" s="47"/>
      <c r="K17" s="47"/>
      <c r="L17" s="46" t="s">
        <v>211</v>
      </c>
      <c r="M17" s="46"/>
      <c r="N17" s="49" t="s">
        <v>214</v>
      </c>
      <c r="O17" s="48" t="s">
        <v>1404</v>
      </c>
      <c r="P17" s="108" t="s">
        <v>393</v>
      </c>
      <c r="S17" s="95" t="s">
        <v>1366</v>
      </c>
      <c r="T17" s="95" t="s">
        <v>1318</v>
      </c>
      <c r="U17" s="95" t="s">
        <v>1367</v>
      </c>
      <c r="V17" s="87" t="s">
        <v>1368</v>
      </c>
      <c r="W17" s="49"/>
    </row>
    <row r="18" spans="2:23" s="90" customFormat="1" ht="12.6">
      <c r="B18" s="46" t="s">
        <v>216</v>
      </c>
      <c r="C18" s="46" t="s">
        <v>217</v>
      </c>
      <c r="D18" s="46" t="s">
        <v>13</v>
      </c>
      <c r="E18" s="47">
        <v>40</v>
      </c>
      <c r="F18" s="47"/>
      <c r="G18" s="46"/>
      <c r="H18" s="46"/>
      <c r="I18" s="47"/>
      <c r="J18" s="47"/>
      <c r="K18" s="47"/>
      <c r="L18" s="46" t="s">
        <v>211</v>
      </c>
      <c r="M18" s="46"/>
      <c r="N18" s="49" t="s">
        <v>216</v>
      </c>
      <c r="O18" s="49"/>
      <c r="P18" s="49" t="s">
        <v>344</v>
      </c>
      <c r="S18" s="254" t="s">
        <v>344</v>
      </c>
      <c r="T18" s="255"/>
      <c r="U18" s="255"/>
      <c r="V18" s="256"/>
      <c r="W18" s="49"/>
    </row>
    <row r="19" spans="2:23" s="90" customFormat="1" ht="21.6">
      <c r="B19" s="46" t="s">
        <v>191</v>
      </c>
      <c r="C19" s="46" t="s">
        <v>192</v>
      </c>
      <c r="D19" s="46" t="s">
        <v>193</v>
      </c>
      <c r="E19" s="47">
        <v>255</v>
      </c>
      <c r="F19" s="47"/>
      <c r="G19" s="46"/>
      <c r="H19" s="46"/>
      <c r="I19" s="47"/>
      <c r="J19" s="47"/>
      <c r="K19" s="47"/>
      <c r="L19" s="46" t="s">
        <v>194</v>
      </c>
      <c r="M19" s="46"/>
      <c r="N19" s="49" t="s">
        <v>191</v>
      </c>
      <c r="O19" s="49"/>
      <c r="P19" s="49" t="s">
        <v>365</v>
      </c>
      <c r="S19" s="123" t="s">
        <v>365</v>
      </c>
      <c r="T19" s="95" t="s">
        <v>1427</v>
      </c>
      <c r="U19" s="113" t="s">
        <v>365</v>
      </c>
      <c r="V19" s="120" t="s">
        <v>344</v>
      </c>
      <c r="W19" s="49"/>
    </row>
    <row r="20" spans="2:23" s="90" customFormat="1" ht="12.6">
      <c r="B20" s="46" t="s">
        <v>195</v>
      </c>
      <c r="C20" s="46" t="s">
        <v>196</v>
      </c>
      <c r="D20" s="46" t="s">
        <v>193</v>
      </c>
      <c r="E20" s="47">
        <v>255</v>
      </c>
      <c r="F20" s="47"/>
      <c r="G20" s="46"/>
      <c r="H20" s="46"/>
      <c r="I20" s="47"/>
      <c r="J20" s="47"/>
      <c r="K20" s="47"/>
      <c r="L20" s="46" t="s">
        <v>194</v>
      </c>
      <c r="M20" s="46"/>
      <c r="N20" s="49" t="s">
        <v>195</v>
      </c>
      <c r="O20" s="48"/>
      <c r="P20" s="49" t="s">
        <v>365</v>
      </c>
      <c r="S20" s="263" t="s">
        <v>1416</v>
      </c>
      <c r="T20" s="264"/>
      <c r="U20" s="264"/>
      <c r="V20" s="87" t="s">
        <v>1417</v>
      </c>
      <c r="W20" s="49"/>
    </row>
    <row r="21" spans="2:23" s="90" customFormat="1" ht="12.6">
      <c r="B21" s="46" t="s">
        <v>197</v>
      </c>
      <c r="C21" s="46" t="s">
        <v>198</v>
      </c>
      <c r="D21" s="46" t="s">
        <v>193</v>
      </c>
      <c r="E21" s="47">
        <v>255</v>
      </c>
      <c r="F21" s="47"/>
      <c r="G21" s="46"/>
      <c r="H21" s="46"/>
      <c r="I21" s="47"/>
      <c r="J21" s="47"/>
      <c r="K21" s="47"/>
      <c r="L21" s="46" t="s">
        <v>194</v>
      </c>
      <c r="M21" s="46"/>
      <c r="N21" s="49" t="s">
        <v>344</v>
      </c>
      <c r="O21" s="49"/>
      <c r="P21" s="49" t="s">
        <v>344</v>
      </c>
      <c r="S21" s="254" t="s">
        <v>344</v>
      </c>
      <c r="T21" s="255"/>
      <c r="U21" s="256"/>
      <c r="V21" s="87" t="s">
        <v>1380</v>
      </c>
      <c r="W21" s="49"/>
    </row>
    <row r="22" spans="2:23" s="90" customFormat="1" ht="12.6">
      <c r="B22" s="46" t="s">
        <v>199</v>
      </c>
      <c r="C22" s="46" t="s">
        <v>200</v>
      </c>
      <c r="D22" s="46" t="s">
        <v>193</v>
      </c>
      <c r="E22" s="47">
        <v>255</v>
      </c>
      <c r="F22" s="47"/>
      <c r="G22" s="46"/>
      <c r="H22" s="46"/>
      <c r="I22" s="47"/>
      <c r="J22" s="47"/>
      <c r="K22" s="47"/>
      <c r="L22" s="46" t="s">
        <v>194</v>
      </c>
      <c r="M22" s="46"/>
      <c r="N22" s="49" t="s">
        <v>344</v>
      </c>
      <c r="O22" s="49"/>
      <c r="P22" s="49" t="s">
        <v>344</v>
      </c>
      <c r="S22" s="254" t="s">
        <v>344</v>
      </c>
      <c r="T22" s="255"/>
      <c r="U22" s="256"/>
      <c r="V22" s="120" t="s">
        <v>344</v>
      </c>
      <c r="W22" s="49"/>
    </row>
    <row r="23" spans="2:23" s="90" customFormat="1" ht="12.6">
      <c r="B23" s="46" t="s">
        <v>318</v>
      </c>
      <c r="C23" s="46" t="s">
        <v>319</v>
      </c>
      <c r="D23" s="46" t="s">
        <v>193</v>
      </c>
      <c r="E23" s="47">
        <v>255</v>
      </c>
      <c r="F23" s="47"/>
      <c r="G23" s="46"/>
      <c r="H23" s="46"/>
      <c r="I23" s="47"/>
      <c r="J23" s="47"/>
      <c r="K23" s="47"/>
      <c r="L23" s="46" t="s">
        <v>194</v>
      </c>
      <c r="M23" s="46"/>
      <c r="N23" s="49"/>
      <c r="O23" s="48"/>
      <c r="P23" s="49"/>
      <c r="S23" s="254" t="s">
        <v>344</v>
      </c>
      <c r="T23" s="255"/>
      <c r="U23" s="256"/>
      <c r="V23" s="87" t="s">
        <v>1381</v>
      </c>
      <c r="W23" s="49"/>
    </row>
    <row r="24" spans="2:23" s="90" customFormat="1" ht="12.6">
      <c r="B24" s="46" t="s">
        <v>320</v>
      </c>
      <c r="C24" s="46" t="s">
        <v>321</v>
      </c>
      <c r="D24" s="46" t="s">
        <v>193</v>
      </c>
      <c r="E24" s="47">
        <v>255</v>
      </c>
      <c r="F24" s="47"/>
      <c r="G24" s="46"/>
      <c r="H24" s="46"/>
      <c r="I24" s="47"/>
      <c r="J24" s="47"/>
      <c r="K24" s="47"/>
      <c r="L24" s="46" t="s">
        <v>194</v>
      </c>
      <c r="M24" s="46"/>
      <c r="N24" s="49"/>
      <c r="O24" s="48"/>
      <c r="P24" s="49"/>
      <c r="S24" s="254" t="s">
        <v>344</v>
      </c>
      <c r="T24" s="255"/>
      <c r="U24" s="256"/>
      <c r="V24" s="120" t="s">
        <v>344</v>
      </c>
      <c r="W24" s="49"/>
    </row>
    <row r="25" spans="2:23" s="90" customFormat="1" ht="12" customHeight="1">
      <c r="B25" s="46" t="s">
        <v>201</v>
      </c>
      <c r="C25" s="46" t="s">
        <v>202</v>
      </c>
      <c r="D25" s="46" t="s">
        <v>13</v>
      </c>
      <c r="E25" s="47" t="s">
        <v>505</v>
      </c>
      <c r="F25" s="47"/>
      <c r="G25" s="46"/>
      <c r="H25" s="46"/>
      <c r="I25" s="47"/>
      <c r="J25" s="47"/>
      <c r="K25" s="47"/>
      <c r="L25" s="46" t="s">
        <v>204</v>
      </c>
      <c r="M25" s="46"/>
      <c r="N25" s="49" t="s">
        <v>346</v>
      </c>
      <c r="O25" s="49"/>
      <c r="P25" s="49"/>
      <c r="S25" s="263" t="s">
        <v>366</v>
      </c>
      <c r="T25" s="264"/>
      <c r="U25" s="264"/>
      <c r="V25" s="265"/>
      <c r="W25" s="49"/>
    </row>
    <row r="26" spans="2:23" s="90" customFormat="1" ht="12.6">
      <c r="B26" s="46" t="s">
        <v>205</v>
      </c>
      <c r="C26" s="46" t="s">
        <v>206</v>
      </c>
      <c r="D26" s="46" t="s">
        <v>13</v>
      </c>
      <c r="E26" s="47" t="s">
        <v>505</v>
      </c>
      <c r="F26" s="47"/>
      <c r="G26" s="46"/>
      <c r="H26" s="46"/>
      <c r="I26" s="47"/>
      <c r="J26" s="47"/>
      <c r="K26" s="47"/>
      <c r="L26" s="46" t="s">
        <v>204</v>
      </c>
      <c r="M26" s="46"/>
      <c r="N26" s="49" t="s">
        <v>347</v>
      </c>
      <c r="O26" s="49"/>
      <c r="P26" s="49"/>
      <c r="S26" s="263" t="s">
        <v>367</v>
      </c>
      <c r="T26" s="264"/>
      <c r="U26" s="264"/>
      <c r="V26" s="265"/>
      <c r="W26" s="49"/>
    </row>
    <row r="27" spans="2:23" s="90" customFormat="1" ht="12.6">
      <c r="B27" s="46" t="s">
        <v>322</v>
      </c>
      <c r="C27" s="46" t="s">
        <v>323</v>
      </c>
      <c r="D27" s="46" t="s">
        <v>13</v>
      </c>
      <c r="E27" s="47" t="s">
        <v>505</v>
      </c>
      <c r="F27" s="47"/>
      <c r="G27" s="46"/>
      <c r="H27" s="46"/>
      <c r="I27" s="47"/>
      <c r="J27" s="47"/>
      <c r="K27" s="47"/>
      <c r="L27" s="46" t="s">
        <v>204</v>
      </c>
      <c r="M27" s="46"/>
      <c r="N27" s="49"/>
      <c r="O27" s="48"/>
      <c r="P27" s="49"/>
      <c r="S27" s="254" t="s">
        <v>344</v>
      </c>
      <c r="T27" s="255"/>
      <c r="U27" s="255"/>
      <c r="V27" s="256"/>
      <c r="W27" s="49"/>
    </row>
    <row r="28" spans="2:23" s="90" customFormat="1" ht="12.6">
      <c r="B28" s="46" t="s">
        <v>324</v>
      </c>
      <c r="C28" s="46" t="s">
        <v>325</v>
      </c>
      <c r="D28" s="46" t="s">
        <v>13</v>
      </c>
      <c r="E28" s="47" t="s">
        <v>505</v>
      </c>
      <c r="F28" s="47"/>
      <c r="G28" s="46"/>
      <c r="H28" s="46"/>
      <c r="I28" s="47"/>
      <c r="J28" s="47"/>
      <c r="K28" s="47"/>
      <c r="L28" s="46" t="s">
        <v>204</v>
      </c>
      <c r="M28" s="46"/>
      <c r="N28" s="49"/>
      <c r="O28" s="48"/>
      <c r="P28" s="49"/>
      <c r="S28" s="254" t="s">
        <v>344</v>
      </c>
      <c r="T28" s="255"/>
      <c r="U28" s="255"/>
      <c r="V28" s="256"/>
      <c r="W28" s="49"/>
    </row>
    <row r="29" spans="2:23" s="90" customFormat="1" ht="12.6">
      <c r="B29" s="46" t="s">
        <v>207</v>
      </c>
      <c r="C29" s="46" t="s">
        <v>208</v>
      </c>
      <c r="D29" s="46" t="s">
        <v>13</v>
      </c>
      <c r="E29" s="47" t="s">
        <v>505</v>
      </c>
      <c r="F29" s="47"/>
      <c r="G29" s="46"/>
      <c r="H29" s="46"/>
      <c r="I29" s="47"/>
      <c r="J29" s="47"/>
      <c r="K29" s="47"/>
      <c r="L29" s="46" t="s">
        <v>204</v>
      </c>
      <c r="M29" s="46"/>
      <c r="N29" s="49" t="s">
        <v>344</v>
      </c>
      <c r="O29" s="49"/>
      <c r="P29" s="49"/>
      <c r="S29" s="254" t="s">
        <v>344</v>
      </c>
      <c r="T29" s="255"/>
      <c r="U29" s="255"/>
      <c r="V29" s="256"/>
      <c r="W29" s="49"/>
    </row>
    <row r="30" spans="2:23" s="90" customFormat="1" ht="12.6">
      <c r="B30" s="46" t="s">
        <v>209</v>
      </c>
      <c r="C30" s="46" t="s">
        <v>210</v>
      </c>
      <c r="D30" s="46" t="s">
        <v>13</v>
      </c>
      <c r="E30" s="47">
        <v>40</v>
      </c>
      <c r="F30" s="47"/>
      <c r="G30" s="46"/>
      <c r="H30" s="46"/>
      <c r="I30" s="47"/>
      <c r="J30" s="47"/>
      <c r="K30" s="47"/>
      <c r="L30" s="46" t="s">
        <v>211</v>
      </c>
      <c r="M30" s="46"/>
      <c r="N30" s="49" t="s">
        <v>344</v>
      </c>
      <c r="O30" s="49"/>
      <c r="P30" s="49"/>
      <c r="S30" s="254" t="s">
        <v>344</v>
      </c>
      <c r="T30" s="255"/>
      <c r="U30" s="255"/>
      <c r="V30" s="256"/>
      <c r="W30" s="49"/>
    </row>
    <row r="31" spans="2:23" s="90" customFormat="1" ht="12.6">
      <c r="B31" s="46" t="s">
        <v>212</v>
      </c>
      <c r="C31" s="46" t="s">
        <v>213</v>
      </c>
      <c r="D31" s="46" t="s">
        <v>13</v>
      </c>
      <c r="E31" s="47">
        <v>40</v>
      </c>
      <c r="F31" s="47"/>
      <c r="G31" s="46"/>
      <c r="H31" s="46"/>
      <c r="I31" s="47"/>
      <c r="J31" s="47"/>
      <c r="K31" s="47"/>
      <c r="L31" s="46" t="s">
        <v>211</v>
      </c>
      <c r="M31" s="46"/>
      <c r="N31" s="49" t="s">
        <v>344</v>
      </c>
      <c r="O31" s="49"/>
      <c r="P31" s="49"/>
      <c r="S31" s="254" t="s">
        <v>344</v>
      </c>
      <c r="T31" s="255"/>
      <c r="U31" s="255"/>
      <c r="V31" s="256"/>
      <c r="W31" s="49"/>
    </row>
    <row r="32" spans="2:23" s="90" customFormat="1" ht="12.6">
      <c r="B32" s="46" t="s">
        <v>218</v>
      </c>
      <c r="C32" s="46" t="s">
        <v>219</v>
      </c>
      <c r="D32" s="46" t="s">
        <v>193</v>
      </c>
      <c r="E32" s="47">
        <v>255</v>
      </c>
      <c r="F32" s="47"/>
      <c r="G32" s="46"/>
      <c r="H32" s="46"/>
      <c r="I32" s="47"/>
      <c r="J32" s="47"/>
      <c r="K32" s="47"/>
      <c r="L32" s="46" t="s">
        <v>194</v>
      </c>
      <c r="M32" s="46"/>
      <c r="N32" s="49" t="s">
        <v>344</v>
      </c>
      <c r="O32" s="49"/>
      <c r="P32" s="49" t="s">
        <v>390</v>
      </c>
      <c r="S32" s="254" t="s">
        <v>344</v>
      </c>
      <c r="T32" s="255"/>
      <c r="U32" s="255"/>
      <c r="V32" s="256"/>
      <c r="W32" s="49"/>
    </row>
    <row r="33" spans="2:23" s="90" customFormat="1" ht="12.6">
      <c r="B33" s="46" t="s">
        <v>220</v>
      </c>
      <c r="C33" s="46" t="s">
        <v>221</v>
      </c>
      <c r="D33" s="46" t="s">
        <v>193</v>
      </c>
      <c r="E33" s="47">
        <v>255</v>
      </c>
      <c r="F33" s="47"/>
      <c r="G33" s="46"/>
      <c r="H33" s="46"/>
      <c r="I33" s="47"/>
      <c r="J33" s="47"/>
      <c r="K33" s="47"/>
      <c r="L33" s="46" t="s">
        <v>194</v>
      </c>
      <c r="M33" s="46"/>
      <c r="N33" s="49" t="s">
        <v>344</v>
      </c>
      <c r="O33" s="49"/>
      <c r="P33" s="49" t="s">
        <v>391</v>
      </c>
      <c r="S33" s="254" t="s">
        <v>344</v>
      </c>
      <c r="T33" s="255"/>
      <c r="U33" s="255"/>
      <c r="V33" s="256"/>
      <c r="W33" s="49"/>
    </row>
    <row r="34" spans="2:23" s="90" customFormat="1" ht="12.6">
      <c r="B34" s="46" t="s">
        <v>222</v>
      </c>
      <c r="C34" s="46" t="s">
        <v>223</v>
      </c>
      <c r="D34" s="46" t="s">
        <v>13</v>
      </c>
      <c r="E34" s="47">
        <v>40</v>
      </c>
      <c r="F34" s="47"/>
      <c r="G34" s="46"/>
      <c r="H34" s="46"/>
      <c r="I34" s="47"/>
      <c r="J34" s="47"/>
      <c r="K34" s="47"/>
      <c r="L34" s="46" t="s">
        <v>211</v>
      </c>
      <c r="M34" s="46"/>
      <c r="N34" s="49" t="s">
        <v>344</v>
      </c>
      <c r="O34" s="48"/>
      <c r="P34" s="49"/>
      <c r="S34" s="254" t="s">
        <v>344</v>
      </c>
      <c r="T34" s="255"/>
      <c r="U34" s="255"/>
      <c r="V34" s="256"/>
      <c r="W34" s="49"/>
    </row>
    <row r="35" spans="2:23" s="90" customFormat="1" ht="12.6">
      <c r="B35" s="46" t="s">
        <v>224</v>
      </c>
      <c r="C35" s="46" t="s">
        <v>225</v>
      </c>
      <c r="D35" s="46" t="s">
        <v>13</v>
      </c>
      <c r="E35" s="47">
        <v>40</v>
      </c>
      <c r="F35" s="47"/>
      <c r="G35" s="46"/>
      <c r="H35" s="46"/>
      <c r="I35" s="47"/>
      <c r="J35" s="47"/>
      <c r="K35" s="47"/>
      <c r="L35" s="46" t="s">
        <v>211</v>
      </c>
      <c r="M35" s="46"/>
      <c r="N35" s="48" t="s">
        <v>344</v>
      </c>
      <c r="O35" s="49"/>
      <c r="P35" s="49"/>
      <c r="S35" s="254" t="s">
        <v>344</v>
      </c>
      <c r="T35" s="255"/>
      <c r="U35" s="255"/>
      <c r="V35" s="256"/>
      <c r="W35" s="49"/>
    </row>
    <row r="36" spans="2:23" s="90" customFormat="1" ht="12.6">
      <c r="B36" s="46" t="s">
        <v>226</v>
      </c>
      <c r="C36" s="46" t="s">
        <v>227</v>
      </c>
      <c r="D36" s="46" t="s">
        <v>13</v>
      </c>
      <c r="E36" s="47">
        <v>40</v>
      </c>
      <c r="F36" s="47"/>
      <c r="G36" s="46"/>
      <c r="H36" s="46"/>
      <c r="I36" s="47"/>
      <c r="J36" s="47"/>
      <c r="K36" s="47"/>
      <c r="L36" s="46" t="s">
        <v>211</v>
      </c>
      <c r="M36" s="46"/>
      <c r="N36" s="48" t="s">
        <v>344</v>
      </c>
      <c r="O36" s="49"/>
      <c r="P36" s="49"/>
      <c r="S36" s="254" t="s">
        <v>344</v>
      </c>
      <c r="T36" s="255"/>
      <c r="U36" s="255"/>
      <c r="V36" s="256"/>
      <c r="W36" s="49"/>
    </row>
    <row r="37" spans="2:23" s="90" customFormat="1" ht="54">
      <c r="B37" s="46" t="s">
        <v>228</v>
      </c>
      <c r="C37" s="46" t="s">
        <v>229</v>
      </c>
      <c r="D37" s="46" t="s">
        <v>230</v>
      </c>
      <c r="E37" s="47"/>
      <c r="F37" s="47"/>
      <c r="G37" s="46">
        <v>0</v>
      </c>
      <c r="H37" s="46"/>
      <c r="I37" s="47"/>
      <c r="J37" s="47"/>
      <c r="K37" s="47"/>
      <c r="L37" s="46" t="s">
        <v>231</v>
      </c>
      <c r="M37" s="46"/>
      <c r="N37" s="48" t="s">
        <v>228</v>
      </c>
      <c r="O37" s="49"/>
      <c r="P37" s="49"/>
      <c r="S37" s="96" t="s">
        <v>1382</v>
      </c>
      <c r="T37" s="94" t="s">
        <v>1383</v>
      </c>
      <c r="U37" s="94" t="s">
        <v>1319</v>
      </c>
      <c r="V37" s="95" t="s">
        <v>1384</v>
      </c>
      <c r="W37" s="49"/>
    </row>
    <row r="38" spans="2:23" s="90" customFormat="1" ht="12.6">
      <c r="B38" s="46" t="s">
        <v>232</v>
      </c>
      <c r="C38" s="46" t="s">
        <v>233</v>
      </c>
      <c r="D38" s="46" t="s">
        <v>13</v>
      </c>
      <c r="E38" s="47">
        <v>10</v>
      </c>
      <c r="F38" s="47"/>
      <c r="G38" s="46"/>
      <c r="H38" s="46"/>
      <c r="I38" s="47"/>
      <c r="J38" s="47"/>
      <c r="K38" s="47"/>
      <c r="L38" s="46" t="s">
        <v>234</v>
      </c>
      <c r="M38" s="46"/>
      <c r="N38" s="48" t="s">
        <v>232</v>
      </c>
      <c r="O38" s="49"/>
      <c r="P38" s="49"/>
      <c r="S38" s="254" t="s">
        <v>344</v>
      </c>
      <c r="T38" s="255"/>
      <c r="U38" s="256"/>
      <c r="V38" s="49"/>
      <c r="W38" s="49"/>
    </row>
    <row r="39" spans="2:23" s="90" customFormat="1" ht="86.4">
      <c r="B39" s="46" t="s">
        <v>235</v>
      </c>
      <c r="C39" s="46" t="s">
        <v>236</v>
      </c>
      <c r="D39" s="46" t="s">
        <v>13</v>
      </c>
      <c r="E39" s="47" t="s">
        <v>505</v>
      </c>
      <c r="F39" s="47"/>
      <c r="G39" s="46"/>
      <c r="H39" s="46"/>
      <c r="I39" s="47"/>
      <c r="J39" s="47"/>
      <c r="K39" s="47"/>
      <c r="L39" s="46" t="s">
        <v>237</v>
      </c>
      <c r="M39" s="46"/>
      <c r="N39" s="48" t="s">
        <v>235</v>
      </c>
      <c r="O39" s="49"/>
      <c r="P39" s="48" t="s">
        <v>394</v>
      </c>
      <c r="S39" s="94" t="s">
        <v>368</v>
      </c>
      <c r="T39" s="94" t="s">
        <v>369</v>
      </c>
      <c r="U39" s="94" t="s">
        <v>370</v>
      </c>
      <c r="V39" s="94" t="s">
        <v>370</v>
      </c>
      <c r="W39" s="49"/>
    </row>
    <row r="40" spans="2:23" s="90" customFormat="1" ht="63">
      <c r="B40" s="46" t="s">
        <v>238</v>
      </c>
      <c r="C40" s="46" t="s">
        <v>239</v>
      </c>
      <c r="D40" s="46" t="s">
        <v>13</v>
      </c>
      <c r="E40" s="47" t="s">
        <v>505</v>
      </c>
      <c r="F40" s="47"/>
      <c r="G40" s="54"/>
      <c r="H40" s="46"/>
      <c r="I40" s="47"/>
      <c r="J40" s="47"/>
      <c r="K40" s="47"/>
      <c r="L40" s="46" t="s">
        <v>237</v>
      </c>
      <c r="M40" s="46" t="s">
        <v>14</v>
      </c>
      <c r="N40" s="49" t="s">
        <v>348</v>
      </c>
      <c r="O40" s="49"/>
      <c r="P40" s="48" t="s">
        <v>395</v>
      </c>
      <c r="S40" s="260" t="s">
        <v>371</v>
      </c>
      <c r="T40" s="261"/>
      <c r="U40" s="261"/>
      <c r="V40" s="262"/>
      <c r="W40" s="49"/>
    </row>
    <row r="41" spans="2:23" s="90" customFormat="1" ht="15.75" customHeight="1">
      <c r="B41" s="46" t="s">
        <v>240</v>
      </c>
      <c r="C41" s="46" t="s">
        <v>241</v>
      </c>
      <c r="D41" s="46" t="s">
        <v>17</v>
      </c>
      <c r="E41" s="47">
        <v>8</v>
      </c>
      <c r="F41" s="47"/>
      <c r="G41" s="54"/>
      <c r="H41" s="46"/>
      <c r="I41" s="47"/>
      <c r="J41" s="47"/>
      <c r="K41" s="47"/>
      <c r="L41" s="46" t="s">
        <v>242</v>
      </c>
      <c r="M41" s="46" t="s">
        <v>14</v>
      </c>
      <c r="N41" s="49" t="s">
        <v>349</v>
      </c>
      <c r="O41" s="49"/>
      <c r="P41" s="49"/>
      <c r="S41" s="263" t="s">
        <v>349</v>
      </c>
      <c r="T41" s="264"/>
      <c r="U41" s="264"/>
      <c r="V41" s="265"/>
      <c r="W41" s="49"/>
    </row>
    <row r="42" spans="2:23" s="90" customFormat="1" ht="12.6">
      <c r="B42" s="46" t="s">
        <v>243</v>
      </c>
      <c r="C42" s="46" t="s">
        <v>244</v>
      </c>
      <c r="D42" s="46" t="s">
        <v>13</v>
      </c>
      <c r="E42" s="47">
        <v>20</v>
      </c>
      <c r="F42" s="47"/>
      <c r="G42" s="46"/>
      <c r="H42" s="46"/>
      <c r="I42" s="47"/>
      <c r="J42" s="47"/>
      <c r="K42" s="47"/>
      <c r="L42" s="46" t="s">
        <v>245</v>
      </c>
      <c r="M42" s="46" t="s">
        <v>14</v>
      </c>
      <c r="N42" s="49" t="s">
        <v>243</v>
      </c>
      <c r="O42" s="49"/>
      <c r="P42" s="49"/>
      <c r="S42" s="263" t="s">
        <v>243</v>
      </c>
      <c r="T42" s="264"/>
      <c r="U42" s="264"/>
      <c r="V42" s="265"/>
      <c r="W42" s="49"/>
    </row>
    <row r="43" spans="2:23" s="90" customFormat="1" ht="12.6">
      <c r="B43" s="46" t="s">
        <v>246</v>
      </c>
      <c r="C43" s="46" t="s">
        <v>247</v>
      </c>
      <c r="D43" s="46" t="s">
        <v>13</v>
      </c>
      <c r="E43" s="47">
        <v>20</v>
      </c>
      <c r="F43" s="47"/>
      <c r="G43" s="46"/>
      <c r="H43" s="46"/>
      <c r="I43" s="47"/>
      <c r="J43" s="47"/>
      <c r="K43" s="47"/>
      <c r="L43" s="46" t="s">
        <v>245</v>
      </c>
      <c r="M43" s="46" t="s">
        <v>14</v>
      </c>
      <c r="N43" s="49" t="s">
        <v>246</v>
      </c>
      <c r="O43" s="49"/>
      <c r="P43" s="49"/>
      <c r="S43" s="263" t="s">
        <v>1369</v>
      </c>
      <c r="T43" s="264"/>
      <c r="U43" s="264"/>
      <c r="V43" s="265"/>
      <c r="W43" s="49"/>
    </row>
    <row r="44" spans="2:23" s="90" customFormat="1" ht="12.6">
      <c r="B44" s="46" t="s">
        <v>248</v>
      </c>
      <c r="C44" s="46" t="s">
        <v>249</v>
      </c>
      <c r="D44" s="46" t="s">
        <v>13</v>
      </c>
      <c r="E44" s="47">
        <v>255</v>
      </c>
      <c r="F44" s="47"/>
      <c r="G44" s="46"/>
      <c r="H44" s="46"/>
      <c r="I44" s="47"/>
      <c r="J44" s="47"/>
      <c r="K44" s="47"/>
      <c r="L44" s="46" t="s">
        <v>418</v>
      </c>
      <c r="M44" s="46" t="s">
        <v>14</v>
      </c>
      <c r="N44" s="49" t="s">
        <v>344</v>
      </c>
      <c r="O44" s="48"/>
      <c r="P44" s="49"/>
      <c r="S44" s="254" t="s">
        <v>344</v>
      </c>
      <c r="T44" s="255"/>
      <c r="U44" s="255"/>
      <c r="V44" s="256"/>
      <c r="W44" s="49"/>
    </row>
    <row r="45" spans="2:23" s="90" customFormat="1" ht="12.6">
      <c r="B45" s="46" t="s">
        <v>250</v>
      </c>
      <c r="C45" s="46" t="s">
        <v>251</v>
      </c>
      <c r="D45" s="46" t="s">
        <v>13</v>
      </c>
      <c r="E45" s="47">
        <v>40</v>
      </c>
      <c r="F45" s="47"/>
      <c r="G45" s="46"/>
      <c r="H45" s="46"/>
      <c r="I45" s="47"/>
      <c r="J45" s="47"/>
      <c r="K45" s="47"/>
      <c r="L45" s="46" t="s">
        <v>78</v>
      </c>
      <c r="M45" s="46"/>
      <c r="N45" s="49" t="s">
        <v>344</v>
      </c>
      <c r="O45" s="48"/>
      <c r="P45" s="49"/>
      <c r="S45" s="254" t="s">
        <v>344</v>
      </c>
      <c r="T45" s="255"/>
      <c r="U45" s="255"/>
      <c r="V45" s="256"/>
      <c r="W45" s="49"/>
    </row>
    <row r="46" spans="2:23" s="90" customFormat="1" ht="64.8">
      <c r="B46" s="46" t="s">
        <v>252</v>
      </c>
      <c r="C46" s="46" t="s">
        <v>253</v>
      </c>
      <c r="D46" s="46" t="s">
        <v>193</v>
      </c>
      <c r="E46" s="47">
        <v>100</v>
      </c>
      <c r="F46" s="47"/>
      <c r="G46" s="46"/>
      <c r="H46" s="46"/>
      <c r="I46" s="47"/>
      <c r="J46" s="47"/>
      <c r="K46" s="47"/>
      <c r="L46" s="46" t="s">
        <v>254</v>
      </c>
      <c r="M46" s="46"/>
      <c r="N46" s="49" t="s">
        <v>350</v>
      </c>
      <c r="O46" s="48"/>
      <c r="P46" s="49"/>
      <c r="S46" s="94" t="s">
        <v>372</v>
      </c>
      <c r="T46" s="94" t="s">
        <v>373</v>
      </c>
      <c r="U46" s="97" t="s">
        <v>344</v>
      </c>
      <c r="V46" s="97" t="s">
        <v>344</v>
      </c>
      <c r="W46" s="49"/>
    </row>
    <row r="47" spans="2:23" s="90" customFormat="1" ht="12.6">
      <c r="B47" s="46" t="s">
        <v>255</v>
      </c>
      <c r="C47" s="46" t="s">
        <v>256</v>
      </c>
      <c r="D47" s="46" t="s">
        <v>193</v>
      </c>
      <c r="E47" s="47">
        <v>100</v>
      </c>
      <c r="F47" s="47"/>
      <c r="G47" s="46"/>
      <c r="H47" s="46"/>
      <c r="I47" s="47"/>
      <c r="J47" s="47"/>
      <c r="K47" s="47"/>
      <c r="L47" s="46" t="s">
        <v>254</v>
      </c>
      <c r="M47" s="46"/>
      <c r="N47" s="49" t="s">
        <v>351</v>
      </c>
      <c r="O47" s="48"/>
      <c r="P47" s="49"/>
      <c r="S47" s="94" t="s">
        <v>374</v>
      </c>
      <c r="T47" s="94" t="s">
        <v>375</v>
      </c>
      <c r="U47" s="97" t="s">
        <v>344</v>
      </c>
      <c r="V47" s="97" t="s">
        <v>344</v>
      </c>
      <c r="W47" s="49"/>
    </row>
    <row r="48" spans="2:23" s="90" customFormat="1" ht="32.4">
      <c r="B48" s="46" t="s">
        <v>257</v>
      </c>
      <c r="C48" s="46" t="s">
        <v>258</v>
      </c>
      <c r="D48" s="46" t="s">
        <v>193</v>
      </c>
      <c r="E48" s="47">
        <v>100</v>
      </c>
      <c r="F48" s="47"/>
      <c r="G48" s="46"/>
      <c r="H48" s="46"/>
      <c r="I48" s="47"/>
      <c r="J48" s="47"/>
      <c r="K48" s="47"/>
      <c r="L48" s="46" t="s">
        <v>254</v>
      </c>
      <c r="M48" s="46"/>
      <c r="N48" s="49" t="s">
        <v>352</v>
      </c>
      <c r="O48" s="48"/>
      <c r="P48" s="49"/>
      <c r="S48" s="94" t="s">
        <v>376</v>
      </c>
      <c r="T48" s="94" t="s">
        <v>377</v>
      </c>
      <c r="U48" s="97" t="s">
        <v>344</v>
      </c>
      <c r="V48" s="97" t="s">
        <v>344</v>
      </c>
      <c r="W48" s="49"/>
    </row>
    <row r="49" spans="2:23" s="90" customFormat="1" ht="108">
      <c r="B49" s="46" t="s">
        <v>259</v>
      </c>
      <c r="C49" s="46" t="s">
        <v>260</v>
      </c>
      <c r="D49" s="46" t="s">
        <v>193</v>
      </c>
      <c r="E49" s="47">
        <v>100</v>
      </c>
      <c r="F49" s="47"/>
      <c r="G49" s="46"/>
      <c r="H49" s="46"/>
      <c r="I49" s="47"/>
      <c r="J49" s="47"/>
      <c r="K49" s="47"/>
      <c r="L49" s="46" t="s">
        <v>254</v>
      </c>
      <c r="M49" s="46"/>
      <c r="N49" s="49" t="s">
        <v>353</v>
      </c>
      <c r="O49" s="48"/>
      <c r="P49" s="49"/>
      <c r="S49" s="94" t="s">
        <v>1323</v>
      </c>
      <c r="T49" s="94" t="s">
        <v>1324</v>
      </c>
      <c r="U49" s="97" t="s">
        <v>344</v>
      </c>
      <c r="V49" s="97" t="s">
        <v>344</v>
      </c>
      <c r="W49" s="49"/>
    </row>
    <row r="50" spans="2:23" s="90" customFormat="1" ht="32.4">
      <c r="B50" s="46" t="s">
        <v>261</v>
      </c>
      <c r="C50" s="46" t="s">
        <v>262</v>
      </c>
      <c r="D50" s="46" t="s">
        <v>193</v>
      </c>
      <c r="E50" s="47">
        <v>100</v>
      </c>
      <c r="F50" s="47"/>
      <c r="G50" s="46"/>
      <c r="H50" s="46"/>
      <c r="I50" s="47"/>
      <c r="J50" s="47"/>
      <c r="K50" s="47"/>
      <c r="L50" s="46" t="s">
        <v>254</v>
      </c>
      <c r="M50" s="46"/>
      <c r="N50" s="49"/>
      <c r="O50" s="48"/>
      <c r="P50" s="49"/>
      <c r="S50" s="94" t="s">
        <v>1320</v>
      </c>
      <c r="T50" s="98" t="s">
        <v>378</v>
      </c>
      <c r="U50" s="97" t="s">
        <v>344</v>
      </c>
      <c r="V50" s="97" t="s">
        <v>344</v>
      </c>
      <c r="W50" s="49"/>
    </row>
    <row r="51" spans="2:23" s="90" customFormat="1" ht="64.8">
      <c r="B51" s="46" t="s">
        <v>263</v>
      </c>
      <c r="C51" s="46" t="s">
        <v>264</v>
      </c>
      <c r="D51" s="46" t="s">
        <v>193</v>
      </c>
      <c r="E51" s="47">
        <v>100</v>
      </c>
      <c r="F51" s="47"/>
      <c r="G51" s="46"/>
      <c r="H51" s="46"/>
      <c r="I51" s="47"/>
      <c r="J51" s="47"/>
      <c r="K51" s="47"/>
      <c r="L51" s="46" t="s">
        <v>254</v>
      </c>
      <c r="M51" s="46"/>
      <c r="N51" s="48" t="s">
        <v>1358</v>
      </c>
      <c r="O51" s="48" t="s">
        <v>1328</v>
      </c>
      <c r="P51" s="49"/>
      <c r="S51" s="94" t="s">
        <v>379</v>
      </c>
      <c r="T51" s="94" t="s">
        <v>379</v>
      </c>
      <c r="U51" s="97" t="s">
        <v>344</v>
      </c>
      <c r="V51" s="97" t="s">
        <v>344</v>
      </c>
      <c r="W51" s="49"/>
    </row>
    <row r="52" spans="2:23" s="90" customFormat="1" ht="32.4">
      <c r="B52" s="46" t="s">
        <v>265</v>
      </c>
      <c r="C52" s="46" t="s">
        <v>266</v>
      </c>
      <c r="D52" s="46" t="s">
        <v>193</v>
      </c>
      <c r="E52" s="47">
        <v>100</v>
      </c>
      <c r="F52" s="47"/>
      <c r="G52" s="46"/>
      <c r="H52" s="46"/>
      <c r="I52" s="47"/>
      <c r="J52" s="47"/>
      <c r="K52" s="47"/>
      <c r="L52" s="46" t="s">
        <v>254</v>
      </c>
      <c r="M52" s="46"/>
      <c r="N52" s="49" t="s">
        <v>344</v>
      </c>
      <c r="O52" s="48"/>
      <c r="P52" s="49"/>
      <c r="S52" s="97" t="s">
        <v>344</v>
      </c>
      <c r="T52" s="94" t="s">
        <v>380</v>
      </c>
      <c r="U52" s="97" t="s">
        <v>344</v>
      </c>
      <c r="V52" s="97" t="s">
        <v>344</v>
      </c>
      <c r="W52" s="49"/>
    </row>
    <row r="53" spans="2:23" s="90" customFormat="1" ht="12.6">
      <c r="B53" s="46" t="s">
        <v>267</v>
      </c>
      <c r="C53" s="46" t="s">
        <v>268</v>
      </c>
      <c r="D53" s="46" t="s">
        <v>193</v>
      </c>
      <c r="E53" s="47">
        <v>100</v>
      </c>
      <c r="F53" s="47"/>
      <c r="G53" s="46"/>
      <c r="H53" s="46"/>
      <c r="I53" s="47"/>
      <c r="J53" s="47"/>
      <c r="K53" s="47"/>
      <c r="L53" s="46" t="s">
        <v>254</v>
      </c>
      <c r="M53" s="46"/>
      <c r="N53" s="49" t="s">
        <v>344</v>
      </c>
      <c r="O53" s="48"/>
      <c r="P53" s="49"/>
      <c r="S53" s="97" t="s">
        <v>344</v>
      </c>
      <c r="T53" s="94" t="s">
        <v>381</v>
      </c>
      <c r="U53" s="97" t="s">
        <v>344</v>
      </c>
      <c r="V53" s="97" t="s">
        <v>344</v>
      </c>
      <c r="W53" s="49"/>
    </row>
    <row r="54" spans="2:23" s="90" customFormat="1" ht="37.799999999999997">
      <c r="B54" s="46" t="s">
        <v>269</v>
      </c>
      <c r="C54" s="46" t="s">
        <v>270</v>
      </c>
      <c r="D54" s="46" t="s">
        <v>193</v>
      </c>
      <c r="E54" s="47">
        <v>100</v>
      </c>
      <c r="F54" s="47"/>
      <c r="G54" s="46"/>
      <c r="H54" s="46"/>
      <c r="I54" s="47"/>
      <c r="J54" s="47"/>
      <c r="K54" s="47"/>
      <c r="L54" s="46" t="s">
        <v>254</v>
      </c>
      <c r="M54" s="46"/>
      <c r="N54" s="48" t="s">
        <v>1329</v>
      </c>
      <c r="O54" s="48" t="s">
        <v>1327</v>
      </c>
      <c r="P54" s="49"/>
      <c r="S54" s="254" t="s">
        <v>344</v>
      </c>
      <c r="T54" s="255"/>
      <c r="U54" s="256"/>
      <c r="V54" s="97" t="s">
        <v>344</v>
      </c>
      <c r="W54" s="49"/>
    </row>
    <row r="55" spans="2:23" s="90" customFormat="1" ht="12.6">
      <c r="B55" s="46" t="s">
        <v>271</v>
      </c>
      <c r="C55" s="46" t="s">
        <v>272</v>
      </c>
      <c r="D55" s="46" t="s">
        <v>193</v>
      </c>
      <c r="E55" s="47">
        <v>100</v>
      </c>
      <c r="F55" s="47"/>
      <c r="G55" s="46"/>
      <c r="H55" s="46"/>
      <c r="I55" s="47"/>
      <c r="J55" s="47"/>
      <c r="K55" s="47"/>
      <c r="L55" s="46" t="s">
        <v>254</v>
      </c>
      <c r="M55" s="46"/>
      <c r="N55" s="49" t="s">
        <v>344</v>
      </c>
      <c r="O55" s="48"/>
      <c r="P55" s="49"/>
      <c r="S55" s="254" t="s">
        <v>344</v>
      </c>
      <c r="T55" s="255"/>
      <c r="U55" s="256"/>
      <c r="V55" s="97" t="s">
        <v>344</v>
      </c>
      <c r="W55" s="49"/>
    </row>
    <row r="56" spans="2:23" s="90" customFormat="1" ht="12.6">
      <c r="B56" s="46" t="s">
        <v>273</v>
      </c>
      <c r="C56" s="46" t="s">
        <v>274</v>
      </c>
      <c r="D56" s="46" t="s">
        <v>193</v>
      </c>
      <c r="E56" s="47">
        <v>100</v>
      </c>
      <c r="F56" s="47"/>
      <c r="G56" s="46"/>
      <c r="H56" s="46"/>
      <c r="I56" s="47"/>
      <c r="J56" s="47"/>
      <c r="K56" s="47"/>
      <c r="L56" s="46" t="s">
        <v>254</v>
      </c>
      <c r="M56" s="46"/>
      <c r="N56" s="49" t="s">
        <v>344</v>
      </c>
      <c r="O56" s="48"/>
      <c r="P56" s="49"/>
      <c r="S56" s="254" t="s">
        <v>344</v>
      </c>
      <c r="T56" s="255"/>
      <c r="U56" s="256"/>
      <c r="V56" s="97" t="s">
        <v>344</v>
      </c>
      <c r="W56" s="49"/>
    </row>
    <row r="57" spans="2:23" s="90" customFormat="1" ht="12.6">
      <c r="B57" s="46" t="s">
        <v>275</v>
      </c>
      <c r="C57" s="46" t="s">
        <v>276</v>
      </c>
      <c r="D57" s="46" t="s">
        <v>193</v>
      </c>
      <c r="E57" s="47">
        <v>100</v>
      </c>
      <c r="F57" s="47"/>
      <c r="G57" s="46"/>
      <c r="H57" s="46"/>
      <c r="I57" s="47"/>
      <c r="J57" s="47"/>
      <c r="K57" s="47"/>
      <c r="L57" s="46" t="s">
        <v>254</v>
      </c>
      <c r="M57" s="46"/>
      <c r="N57" s="49" t="s">
        <v>344</v>
      </c>
      <c r="O57" s="48"/>
      <c r="P57" s="49"/>
      <c r="S57" s="254" t="s">
        <v>344</v>
      </c>
      <c r="T57" s="255"/>
      <c r="U57" s="256"/>
      <c r="V57" s="97" t="s">
        <v>344</v>
      </c>
      <c r="W57" s="49"/>
    </row>
    <row r="58" spans="2:23" s="90" customFormat="1" ht="12.6">
      <c r="B58" s="46" t="s">
        <v>277</v>
      </c>
      <c r="C58" s="46" t="s">
        <v>278</v>
      </c>
      <c r="D58" s="46" t="s">
        <v>193</v>
      </c>
      <c r="E58" s="47">
        <v>100</v>
      </c>
      <c r="F58" s="47"/>
      <c r="G58" s="46"/>
      <c r="H58" s="46"/>
      <c r="I58" s="47"/>
      <c r="J58" s="47"/>
      <c r="K58" s="47"/>
      <c r="L58" s="46" t="s">
        <v>254</v>
      </c>
      <c r="M58" s="46"/>
      <c r="N58" s="49" t="s">
        <v>344</v>
      </c>
      <c r="O58" s="48"/>
      <c r="P58" s="49"/>
      <c r="S58" s="254" t="s">
        <v>344</v>
      </c>
      <c r="T58" s="255"/>
      <c r="U58" s="256"/>
      <c r="V58" s="97" t="s">
        <v>344</v>
      </c>
      <c r="W58" s="49"/>
    </row>
    <row r="59" spans="2:23" s="90" customFormat="1" ht="12.6">
      <c r="B59" s="46" t="s">
        <v>279</v>
      </c>
      <c r="C59" s="46" t="s">
        <v>280</v>
      </c>
      <c r="D59" s="46" t="s">
        <v>193</v>
      </c>
      <c r="E59" s="47">
        <v>100</v>
      </c>
      <c r="F59" s="47"/>
      <c r="G59" s="46"/>
      <c r="H59" s="46"/>
      <c r="I59" s="47"/>
      <c r="J59" s="47"/>
      <c r="K59" s="47"/>
      <c r="L59" s="46" t="s">
        <v>254</v>
      </c>
      <c r="M59" s="46"/>
      <c r="N59" s="49" t="s">
        <v>344</v>
      </c>
      <c r="O59" s="48"/>
      <c r="P59" s="49"/>
      <c r="S59" s="254" t="s">
        <v>344</v>
      </c>
      <c r="T59" s="255"/>
      <c r="U59" s="256"/>
      <c r="V59" s="97" t="s">
        <v>344</v>
      </c>
      <c r="W59" s="49"/>
    </row>
    <row r="60" spans="2:23" s="90" customFormat="1" ht="54">
      <c r="B60" s="46" t="s">
        <v>281</v>
      </c>
      <c r="C60" s="46" t="s">
        <v>282</v>
      </c>
      <c r="D60" s="46" t="s">
        <v>193</v>
      </c>
      <c r="E60" s="47">
        <v>100</v>
      </c>
      <c r="F60" s="47"/>
      <c r="G60" s="46"/>
      <c r="H60" s="46"/>
      <c r="I60" s="47"/>
      <c r="J60" s="47"/>
      <c r="K60" s="47"/>
      <c r="L60" s="46" t="s">
        <v>254</v>
      </c>
      <c r="M60" s="46"/>
      <c r="N60" s="49" t="s">
        <v>344</v>
      </c>
      <c r="O60" s="48"/>
      <c r="P60" s="49"/>
      <c r="S60" s="94" t="s">
        <v>382</v>
      </c>
      <c r="T60" s="97" t="s">
        <v>344</v>
      </c>
      <c r="U60" s="97" t="s">
        <v>344</v>
      </c>
      <c r="V60" s="87" t="s">
        <v>1374</v>
      </c>
      <c r="W60" s="49"/>
    </row>
    <row r="61" spans="2:23" s="90" customFormat="1" ht="43.2">
      <c r="B61" s="46" t="s">
        <v>283</v>
      </c>
      <c r="C61" s="46" t="s">
        <v>284</v>
      </c>
      <c r="D61" s="46" t="s">
        <v>193</v>
      </c>
      <c r="E61" s="47">
        <v>100</v>
      </c>
      <c r="F61" s="47"/>
      <c r="G61" s="46"/>
      <c r="H61" s="46"/>
      <c r="I61" s="47"/>
      <c r="J61" s="47"/>
      <c r="K61" s="47"/>
      <c r="L61" s="46" t="s">
        <v>254</v>
      </c>
      <c r="M61" s="46"/>
      <c r="N61" s="49" t="s">
        <v>344</v>
      </c>
      <c r="O61" s="48"/>
      <c r="P61" s="49"/>
      <c r="S61" s="94" t="s">
        <v>1399</v>
      </c>
      <c r="T61" s="94" t="s">
        <v>1399</v>
      </c>
      <c r="U61" s="94" t="s">
        <v>1399</v>
      </c>
      <c r="V61" s="87" t="s">
        <v>1375</v>
      </c>
      <c r="W61" s="49"/>
    </row>
    <row r="62" spans="2:23" s="90" customFormat="1" ht="12.6">
      <c r="B62" s="46" t="s">
        <v>285</v>
      </c>
      <c r="C62" s="46" t="s">
        <v>286</v>
      </c>
      <c r="D62" s="46" t="s">
        <v>193</v>
      </c>
      <c r="E62" s="47">
        <v>100</v>
      </c>
      <c r="F62" s="47"/>
      <c r="G62" s="46"/>
      <c r="H62" s="46"/>
      <c r="I62" s="47"/>
      <c r="J62" s="47"/>
      <c r="K62" s="47"/>
      <c r="L62" s="46" t="s">
        <v>254</v>
      </c>
      <c r="M62" s="46"/>
      <c r="N62" s="49" t="s">
        <v>344</v>
      </c>
      <c r="O62" s="48"/>
      <c r="P62" s="49"/>
      <c r="S62" s="254" t="s">
        <v>344</v>
      </c>
      <c r="T62" s="255"/>
      <c r="U62" s="256"/>
      <c r="V62" s="87" t="s">
        <v>1376</v>
      </c>
      <c r="W62" s="49"/>
    </row>
    <row r="63" spans="2:23" s="92" customFormat="1" ht="12.6">
      <c r="B63" s="85" t="s">
        <v>1418</v>
      </c>
      <c r="C63" s="85" t="s">
        <v>1410</v>
      </c>
      <c r="D63" s="85" t="s">
        <v>17</v>
      </c>
      <c r="E63" s="84">
        <v>8</v>
      </c>
      <c r="F63" s="47"/>
      <c r="G63" s="46"/>
      <c r="H63" s="46"/>
      <c r="I63" s="47"/>
      <c r="J63" s="47"/>
      <c r="K63" s="47"/>
      <c r="L63" s="46"/>
      <c r="M63" s="46"/>
      <c r="N63" s="49" t="s">
        <v>344</v>
      </c>
      <c r="O63" s="48"/>
      <c r="P63" s="49"/>
      <c r="Q63" s="93"/>
      <c r="R63" s="93"/>
      <c r="S63" s="100"/>
      <c r="T63" s="101"/>
      <c r="U63" s="102"/>
      <c r="V63" s="87" t="s">
        <v>1413</v>
      </c>
      <c r="W63" s="49"/>
    </row>
    <row r="64" spans="2:23" s="92" customFormat="1" ht="12.6">
      <c r="B64" s="85" t="s">
        <v>1419</v>
      </c>
      <c r="C64" s="85" t="s">
        <v>834</v>
      </c>
      <c r="D64" s="85" t="s">
        <v>17</v>
      </c>
      <c r="E64" s="84">
        <v>8</v>
      </c>
      <c r="F64" s="47"/>
      <c r="G64" s="46"/>
      <c r="H64" s="46"/>
      <c r="I64" s="47"/>
      <c r="J64" s="47"/>
      <c r="K64" s="47"/>
      <c r="L64" s="46"/>
      <c r="M64" s="46"/>
      <c r="N64" s="49" t="s">
        <v>344</v>
      </c>
      <c r="O64" s="48"/>
      <c r="P64" s="49"/>
      <c r="Q64" s="93"/>
      <c r="R64" s="93"/>
      <c r="S64" s="100"/>
      <c r="T64" s="101"/>
      <c r="U64" s="102"/>
      <c r="V64" s="87" t="s">
        <v>1414</v>
      </c>
      <c r="W64" s="49"/>
    </row>
    <row r="65" spans="2:23" s="92" customFormat="1" ht="12.6">
      <c r="B65" s="85" t="s">
        <v>1420</v>
      </c>
      <c r="C65" s="85" t="s">
        <v>836</v>
      </c>
      <c r="D65" s="85" t="s">
        <v>17</v>
      </c>
      <c r="E65" s="84">
        <v>8</v>
      </c>
      <c r="F65" s="47"/>
      <c r="G65" s="46"/>
      <c r="H65" s="46"/>
      <c r="I65" s="47"/>
      <c r="J65" s="47"/>
      <c r="K65" s="47"/>
      <c r="L65" s="46"/>
      <c r="M65" s="46"/>
      <c r="N65" s="49" t="s">
        <v>344</v>
      </c>
      <c r="O65" s="48"/>
      <c r="P65" s="49"/>
      <c r="Q65" s="93"/>
      <c r="R65" s="93"/>
      <c r="S65" s="100"/>
      <c r="T65" s="101"/>
      <c r="U65" s="102"/>
      <c r="V65" s="97" t="s">
        <v>344</v>
      </c>
      <c r="W65" s="49"/>
    </row>
    <row r="66" spans="2:23" s="92" customFormat="1" ht="12.6">
      <c r="B66" s="85" t="s">
        <v>1421</v>
      </c>
      <c r="C66" s="85" t="s">
        <v>1411</v>
      </c>
      <c r="D66" s="85" t="s">
        <v>17</v>
      </c>
      <c r="E66" s="84">
        <v>8</v>
      </c>
      <c r="F66" s="47"/>
      <c r="G66" s="46"/>
      <c r="H66" s="46"/>
      <c r="I66" s="47"/>
      <c r="J66" s="47"/>
      <c r="K66" s="47"/>
      <c r="L66" s="46"/>
      <c r="M66" s="46"/>
      <c r="N66" s="49" t="s">
        <v>344</v>
      </c>
      <c r="O66" s="48"/>
      <c r="P66" s="49"/>
      <c r="Q66" s="93"/>
      <c r="R66" s="93"/>
      <c r="S66" s="100"/>
      <c r="T66" s="101"/>
      <c r="U66" s="102"/>
      <c r="V66" s="97" t="s">
        <v>344</v>
      </c>
      <c r="W66" s="49"/>
    </row>
    <row r="67" spans="2:23" s="92" customFormat="1" ht="12.6">
      <c r="B67" s="85" t="s">
        <v>1422</v>
      </c>
      <c r="C67" s="85" t="s">
        <v>1412</v>
      </c>
      <c r="D67" s="85" t="s">
        <v>17</v>
      </c>
      <c r="E67" s="84">
        <v>8</v>
      </c>
      <c r="F67" s="47"/>
      <c r="G67" s="46"/>
      <c r="H67" s="46"/>
      <c r="I67" s="47"/>
      <c r="J67" s="47"/>
      <c r="K67" s="47"/>
      <c r="L67" s="46"/>
      <c r="M67" s="46"/>
      <c r="N67" s="49" t="s">
        <v>344</v>
      </c>
      <c r="O67" s="48"/>
      <c r="P67" s="49"/>
      <c r="Q67" s="93"/>
      <c r="R67" s="93"/>
      <c r="S67" s="100"/>
      <c r="T67" s="101"/>
      <c r="U67" s="102"/>
      <c r="V67" s="97" t="s">
        <v>344</v>
      </c>
      <c r="W67" s="49"/>
    </row>
    <row r="68" spans="2:23" s="90" customFormat="1" ht="75.599999999999994">
      <c r="B68" s="46" t="s">
        <v>330</v>
      </c>
      <c r="C68" s="46" t="s">
        <v>331</v>
      </c>
      <c r="D68" s="46" t="s">
        <v>13</v>
      </c>
      <c r="E68" s="47" t="s">
        <v>505</v>
      </c>
      <c r="F68" s="47"/>
      <c r="G68" s="46"/>
      <c r="H68" s="46"/>
      <c r="I68" s="47"/>
      <c r="J68" s="47"/>
      <c r="K68" s="47"/>
      <c r="L68" s="46" t="s">
        <v>204</v>
      </c>
      <c r="M68" s="46"/>
      <c r="N68" s="49"/>
      <c r="O68" s="48"/>
      <c r="P68" s="49"/>
      <c r="S68" s="94" t="s">
        <v>383</v>
      </c>
      <c r="T68" s="97" t="s">
        <v>1400</v>
      </c>
      <c r="U68" s="97" t="s">
        <v>344</v>
      </c>
      <c r="V68" s="49"/>
      <c r="W68" s="49"/>
    </row>
    <row r="69" spans="2:23" s="90" customFormat="1" ht="32.4">
      <c r="B69" s="46" t="s">
        <v>332</v>
      </c>
      <c r="C69" s="46" t="s">
        <v>333</v>
      </c>
      <c r="D69" s="46" t="s">
        <v>13</v>
      </c>
      <c r="E69" s="47" t="s">
        <v>505</v>
      </c>
      <c r="F69" s="47"/>
      <c r="G69" s="46"/>
      <c r="H69" s="46"/>
      <c r="I69" s="47"/>
      <c r="J69" s="47"/>
      <c r="K69" s="47"/>
      <c r="L69" s="46" t="s">
        <v>204</v>
      </c>
      <c r="M69" s="46"/>
      <c r="N69" s="49"/>
      <c r="O69" s="48"/>
      <c r="P69" s="49"/>
      <c r="S69" s="98" t="s">
        <v>384</v>
      </c>
      <c r="T69" s="94" t="s">
        <v>385</v>
      </c>
      <c r="U69" s="97" t="s">
        <v>344</v>
      </c>
      <c r="V69" s="49"/>
      <c r="W69" s="49"/>
    </row>
    <row r="70" spans="2:23" s="90" customFormat="1" ht="12.6">
      <c r="B70" s="46" t="s">
        <v>334</v>
      </c>
      <c r="C70" s="46" t="s">
        <v>335</v>
      </c>
      <c r="D70" s="46" t="s">
        <v>13</v>
      </c>
      <c r="E70" s="47" t="s">
        <v>505</v>
      </c>
      <c r="F70" s="47"/>
      <c r="G70" s="46"/>
      <c r="H70" s="46"/>
      <c r="I70" s="47"/>
      <c r="J70" s="47"/>
      <c r="K70" s="47"/>
      <c r="L70" s="46" t="s">
        <v>204</v>
      </c>
      <c r="M70" s="46"/>
      <c r="N70" s="49"/>
      <c r="O70" s="48"/>
      <c r="P70" s="49"/>
      <c r="S70" s="97" t="s">
        <v>344</v>
      </c>
      <c r="T70" s="98" t="s">
        <v>386</v>
      </c>
      <c r="U70" s="97" t="s">
        <v>344</v>
      </c>
      <c r="V70" s="49"/>
      <c r="W70" s="49"/>
    </row>
    <row r="71" spans="2:23" s="90" customFormat="1" ht="12.6">
      <c r="B71" s="46" t="s">
        <v>336</v>
      </c>
      <c r="C71" s="46" t="s">
        <v>337</v>
      </c>
      <c r="D71" s="46" t="s">
        <v>13</v>
      </c>
      <c r="E71" s="47" t="s">
        <v>505</v>
      </c>
      <c r="F71" s="47"/>
      <c r="G71" s="46"/>
      <c r="H71" s="46"/>
      <c r="I71" s="47"/>
      <c r="J71" s="47"/>
      <c r="K71" s="47"/>
      <c r="L71" s="46" t="s">
        <v>204</v>
      </c>
      <c r="M71" s="46"/>
      <c r="N71" s="49"/>
      <c r="O71" s="48"/>
      <c r="P71" s="49"/>
      <c r="S71" s="97" t="s">
        <v>344</v>
      </c>
      <c r="T71" s="98" t="s">
        <v>387</v>
      </c>
      <c r="U71" s="97" t="s">
        <v>344</v>
      </c>
      <c r="V71" s="49"/>
      <c r="W71" s="49"/>
    </row>
    <row r="72" spans="2:23" s="90" customFormat="1" ht="12.6">
      <c r="B72" s="46" t="s">
        <v>291</v>
      </c>
      <c r="C72" s="46" t="s">
        <v>292</v>
      </c>
      <c r="D72" s="46" t="s">
        <v>193</v>
      </c>
      <c r="E72" s="47">
        <v>255</v>
      </c>
      <c r="F72" s="47"/>
      <c r="G72" s="46"/>
      <c r="H72" s="46"/>
      <c r="I72" s="47"/>
      <c r="J72" s="47"/>
      <c r="K72" s="47"/>
      <c r="L72" s="46"/>
      <c r="M72" s="46"/>
      <c r="N72" s="49"/>
      <c r="O72" s="48"/>
      <c r="P72" s="49"/>
      <c r="S72" s="254" t="s">
        <v>344</v>
      </c>
      <c r="T72" s="255"/>
      <c r="U72" s="255"/>
      <c r="V72" s="256"/>
      <c r="W72" s="49"/>
    </row>
    <row r="73" spans="2:23" s="90" customFormat="1" ht="12.6">
      <c r="B73" s="46" t="s">
        <v>293</v>
      </c>
      <c r="C73" s="46" t="s">
        <v>294</v>
      </c>
      <c r="D73" s="46" t="s">
        <v>193</v>
      </c>
      <c r="E73" s="47">
        <v>255</v>
      </c>
      <c r="F73" s="47"/>
      <c r="G73" s="46"/>
      <c r="H73" s="46"/>
      <c r="I73" s="47"/>
      <c r="J73" s="47"/>
      <c r="K73" s="47"/>
      <c r="L73" s="46"/>
      <c r="M73" s="46"/>
      <c r="N73" s="49"/>
      <c r="O73" s="48"/>
      <c r="P73" s="49"/>
      <c r="S73" s="254" t="s">
        <v>344</v>
      </c>
      <c r="T73" s="255"/>
      <c r="U73" s="255"/>
      <c r="V73" s="256"/>
      <c r="W73" s="49"/>
    </row>
    <row r="74" spans="2:23" s="90" customFormat="1" ht="12.6">
      <c r="B74" s="46" t="s">
        <v>295</v>
      </c>
      <c r="C74" s="46" t="s">
        <v>296</v>
      </c>
      <c r="D74" s="46" t="s">
        <v>193</v>
      </c>
      <c r="E74" s="47">
        <v>255</v>
      </c>
      <c r="F74" s="47"/>
      <c r="G74" s="46"/>
      <c r="H74" s="46"/>
      <c r="I74" s="47"/>
      <c r="J74" s="47"/>
      <c r="K74" s="47"/>
      <c r="L74" s="46"/>
      <c r="M74" s="46"/>
      <c r="N74" s="49"/>
      <c r="O74" s="48"/>
      <c r="P74" s="49"/>
      <c r="S74" s="254" t="s">
        <v>344</v>
      </c>
      <c r="T74" s="255"/>
      <c r="U74" s="255"/>
      <c r="V74" s="256"/>
      <c r="W74" s="49"/>
    </row>
    <row r="75" spans="2:23" s="90" customFormat="1" ht="12.6">
      <c r="B75" s="46" t="s">
        <v>297</v>
      </c>
      <c r="C75" s="46" t="s">
        <v>298</v>
      </c>
      <c r="D75" s="46" t="s">
        <v>13</v>
      </c>
      <c r="E75" s="47">
        <v>16</v>
      </c>
      <c r="F75" s="47"/>
      <c r="G75" s="46"/>
      <c r="H75" s="46"/>
      <c r="I75" s="47"/>
      <c r="J75" s="47"/>
      <c r="K75" s="47"/>
      <c r="L75" s="46"/>
      <c r="M75" s="46"/>
      <c r="N75" s="49"/>
      <c r="O75" s="48"/>
      <c r="P75" s="49"/>
      <c r="S75" s="254" t="s">
        <v>344</v>
      </c>
      <c r="T75" s="255"/>
      <c r="U75" s="255"/>
      <c r="V75" s="256"/>
      <c r="W75" s="49"/>
    </row>
    <row r="76" spans="2:23" s="90" customFormat="1" ht="12.6">
      <c r="B76" s="46" t="s">
        <v>299</v>
      </c>
      <c r="C76" s="46" t="s">
        <v>300</v>
      </c>
      <c r="D76" s="46" t="s">
        <v>13</v>
      </c>
      <c r="E76" s="47">
        <v>16</v>
      </c>
      <c r="F76" s="47"/>
      <c r="G76" s="46"/>
      <c r="H76" s="46"/>
      <c r="I76" s="47"/>
      <c r="J76" s="47"/>
      <c r="K76" s="47"/>
      <c r="L76" s="46"/>
      <c r="M76" s="46"/>
      <c r="N76" s="49"/>
      <c r="O76" s="48"/>
      <c r="P76" s="49"/>
      <c r="S76" s="254" t="s">
        <v>344</v>
      </c>
      <c r="T76" s="255"/>
      <c r="U76" s="255"/>
      <c r="V76" s="256"/>
      <c r="W76" s="49"/>
    </row>
    <row r="77" spans="2:23" s="90" customFormat="1" ht="12.6">
      <c r="B77" s="46" t="s">
        <v>301</v>
      </c>
      <c r="C77" s="46" t="s">
        <v>302</v>
      </c>
      <c r="D77" s="46" t="s">
        <v>17</v>
      </c>
      <c r="E77" s="47">
        <v>8</v>
      </c>
      <c r="F77" s="47"/>
      <c r="G77" s="46"/>
      <c r="H77" s="46"/>
      <c r="I77" s="47"/>
      <c r="J77" s="47"/>
      <c r="K77" s="47"/>
      <c r="L77" s="46"/>
      <c r="M77" s="46"/>
      <c r="N77" s="49"/>
      <c r="O77" s="48"/>
      <c r="P77" s="49"/>
      <c r="S77" s="254" t="s">
        <v>344</v>
      </c>
      <c r="T77" s="255"/>
      <c r="U77" s="255"/>
      <c r="V77" s="256"/>
      <c r="W77" s="49"/>
    </row>
    <row r="78" spans="2:23" s="90" customFormat="1" ht="12.6">
      <c r="B78" s="46" t="s">
        <v>303</v>
      </c>
      <c r="C78" s="46" t="s">
        <v>304</v>
      </c>
      <c r="D78" s="46" t="s">
        <v>13</v>
      </c>
      <c r="E78" s="47" t="s">
        <v>505</v>
      </c>
      <c r="F78" s="47"/>
      <c r="G78" s="46"/>
      <c r="H78" s="46"/>
      <c r="I78" s="47"/>
      <c r="J78" s="47"/>
      <c r="K78" s="47"/>
      <c r="L78" s="46"/>
      <c r="M78" s="46"/>
      <c r="N78" s="49"/>
      <c r="O78" s="48"/>
      <c r="P78" s="49"/>
      <c r="S78" s="254" t="s">
        <v>344</v>
      </c>
      <c r="T78" s="255"/>
      <c r="U78" s="255"/>
      <c r="V78" s="256"/>
      <c r="W78" s="49"/>
    </row>
    <row r="79" spans="2:23" s="90" customFormat="1" ht="12.6">
      <c r="B79" s="46" t="s">
        <v>305</v>
      </c>
      <c r="C79" s="46" t="s">
        <v>306</v>
      </c>
      <c r="D79" s="46" t="s">
        <v>13</v>
      </c>
      <c r="E79" s="47">
        <v>16</v>
      </c>
      <c r="F79" s="47"/>
      <c r="G79" s="46"/>
      <c r="H79" s="46"/>
      <c r="I79" s="47"/>
      <c r="J79" s="47"/>
      <c r="K79" s="47"/>
      <c r="L79" s="46"/>
      <c r="M79" s="46"/>
      <c r="N79" s="49"/>
      <c r="O79" s="48"/>
      <c r="P79" s="49"/>
      <c r="S79" s="254" t="s">
        <v>344</v>
      </c>
      <c r="T79" s="255"/>
      <c r="U79" s="255"/>
      <c r="V79" s="256"/>
      <c r="W79" s="49"/>
    </row>
    <row r="80" spans="2:23" s="90" customFormat="1" ht="12.6">
      <c r="B80" s="46" t="s">
        <v>307</v>
      </c>
      <c r="C80" s="46" t="s">
        <v>308</v>
      </c>
      <c r="D80" s="46" t="s">
        <v>13</v>
      </c>
      <c r="E80" s="47">
        <v>16</v>
      </c>
      <c r="F80" s="47"/>
      <c r="G80" s="46"/>
      <c r="H80" s="46"/>
      <c r="I80" s="47"/>
      <c r="J80" s="47"/>
      <c r="K80" s="47"/>
      <c r="L80" s="46"/>
      <c r="M80" s="46"/>
      <c r="N80" s="49"/>
      <c r="O80" s="48"/>
      <c r="P80" s="49"/>
      <c r="S80" s="254" t="s">
        <v>344</v>
      </c>
      <c r="T80" s="255"/>
      <c r="U80" s="255"/>
      <c r="V80" s="256"/>
      <c r="W80" s="49"/>
    </row>
    <row r="81" spans="2:23" s="90" customFormat="1" ht="12.6">
      <c r="B81" s="46" t="s">
        <v>309</v>
      </c>
      <c r="C81" s="46" t="s">
        <v>310</v>
      </c>
      <c r="D81" s="46" t="s">
        <v>17</v>
      </c>
      <c r="E81" s="47">
        <v>8</v>
      </c>
      <c r="F81" s="47"/>
      <c r="G81" s="46"/>
      <c r="H81" s="46"/>
      <c r="I81" s="47"/>
      <c r="J81" s="47"/>
      <c r="K81" s="47"/>
      <c r="L81" s="46"/>
      <c r="M81" s="46"/>
      <c r="N81" s="49"/>
      <c r="O81" s="48"/>
      <c r="P81" s="49"/>
      <c r="S81" s="254" t="s">
        <v>344</v>
      </c>
      <c r="T81" s="255"/>
      <c r="U81" s="255"/>
      <c r="V81" s="256"/>
      <c r="W81" s="49"/>
    </row>
    <row r="82" spans="2:23" s="90" customFormat="1" ht="12.6">
      <c r="B82" s="46" t="s">
        <v>311</v>
      </c>
      <c r="C82" s="46" t="s">
        <v>312</v>
      </c>
      <c r="D82" s="46" t="s">
        <v>13</v>
      </c>
      <c r="E82" s="47" t="s">
        <v>505</v>
      </c>
      <c r="F82" s="47"/>
      <c r="G82" s="46"/>
      <c r="H82" s="46"/>
      <c r="I82" s="47"/>
      <c r="J82" s="47"/>
      <c r="K82" s="47"/>
      <c r="L82" s="46"/>
      <c r="M82" s="46"/>
      <c r="N82" s="49"/>
      <c r="O82" s="48"/>
      <c r="P82" s="49"/>
      <c r="S82" s="254" t="s">
        <v>344</v>
      </c>
      <c r="T82" s="255"/>
      <c r="U82" s="255"/>
      <c r="V82" s="256"/>
      <c r="W82" s="49"/>
    </row>
    <row r="83" spans="2:23" s="90" customFormat="1" ht="12.6">
      <c r="B83" s="46" t="s">
        <v>313</v>
      </c>
      <c r="C83" s="46" t="s">
        <v>314</v>
      </c>
      <c r="D83" s="46" t="s">
        <v>13</v>
      </c>
      <c r="E83" s="47">
        <v>50</v>
      </c>
      <c r="F83" s="47"/>
      <c r="G83" s="46"/>
      <c r="H83" s="46"/>
      <c r="I83" s="47"/>
      <c r="J83" s="47"/>
      <c r="K83" s="47"/>
      <c r="L83" s="46" t="s">
        <v>315</v>
      </c>
      <c r="M83" s="46"/>
      <c r="N83" s="49"/>
      <c r="O83" s="48"/>
      <c r="P83" s="49"/>
      <c r="S83" s="254" t="s">
        <v>344</v>
      </c>
      <c r="T83" s="255"/>
      <c r="U83" s="255"/>
      <c r="V83" s="256"/>
      <c r="W83" s="49"/>
    </row>
    <row r="84" spans="2:23" s="90" customFormat="1" ht="12.6">
      <c r="B84" s="46" t="s">
        <v>316</v>
      </c>
      <c r="C84" s="46" t="s">
        <v>317</v>
      </c>
      <c r="D84" s="46" t="s">
        <v>13</v>
      </c>
      <c r="E84" s="47">
        <v>50</v>
      </c>
      <c r="F84" s="47"/>
      <c r="G84" s="46"/>
      <c r="H84" s="46"/>
      <c r="I84" s="47"/>
      <c r="J84" s="47"/>
      <c r="K84" s="47"/>
      <c r="L84" s="46" t="s">
        <v>315</v>
      </c>
      <c r="M84" s="46"/>
      <c r="N84" s="49"/>
      <c r="O84" s="48"/>
      <c r="P84" s="49"/>
      <c r="S84" s="254" t="s">
        <v>344</v>
      </c>
      <c r="T84" s="255"/>
      <c r="U84" s="255"/>
      <c r="V84" s="256"/>
      <c r="W84" s="49"/>
    </row>
    <row r="85" spans="2:23" s="90" customFormat="1" ht="12.6">
      <c r="B85" s="46" t="s">
        <v>326</v>
      </c>
      <c r="C85" s="46" t="s">
        <v>327</v>
      </c>
      <c r="D85" s="46" t="s">
        <v>13</v>
      </c>
      <c r="E85" s="47">
        <v>40</v>
      </c>
      <c r="F85" s="47"/>
      <c r="G85" s="46"/>
      <c r="H85" s="46"/>
      <c r="I85" s="47"/>
      <c r="J85" s="47"/>
      <c r="K85" s="47"/>
      <c r="L85" s="46" t="s">
        <v>211</v>
      </c>
      <c r="M85" s="46"/>
      <c r="N85" s="49"/>
      <c r="O85" s="48"/>
      <c r="P85" s="49"/>
      <c r="S85" s="254" t="s">
        <v>344</v>
      </c>
      <c r="T85" s="255"/>
      <c r="U85" s="255"/>
      <c r="V85" s="256"/>
      <c r="W85" s="49"/>
    </row>
    <row r="86" spans="2:23" s="90" customFormat="1" ht="12.6">
      <c r="B86" s="46" t="s">
        <v>328</v>
      </c>
      <c r="C86" s="46" t="s">
        <v>329</v>
      </c>
      <c r="D86" s="46" t="s">
        <v>13</v>
      </c>
      <c r="E86" s="47" t="s">
        <v>505</v>
      </c>
      <c r="F86" s="47"/>
      <c r="G86" s="46"/>
      <c r="H86" s="46"/>
      <c r="I86" s="47"/>
      <c r="J86" s="47"/>
      <c r="K86" s="47"/>
      <c r="L86" s="46" t="s">
        <v>204</v>
      </c>
      <c r="M86" s="46"/>
      <c r="N86" s="49"/>
      <c r="O86" s="48"/>
      <c r="P86" s="49"/>
      <c r="S86" s="254" t="s">
        <v>344</v>
      </c>
      <c r="T86" s="255"/>
      <c r="U86" s="255"/>
      <c r="V86" s="256"/>
      <c r="W86" s="49"/>
    </row>
    <row r="87" spans="2:23" s="90" customFormat="1" ht="12.6">
      <c r="B87" s="46" t="s">
        <v>338</v>
      </c>
      <c r="C87" s="46" t="s">
        <v>339</v>
      </c>
      <c r="D87" s="46" t="s">
        <v>13</v>
      </c>
      <c r="E87" s="47" t="s">
        <v>505</v>
      </c>
      <c r="F87" s="47"/>
      <c r="G87" s="46"/>
      <c r="H87" s="46"/>
      <c r="I87" s="47"/>
      <c r="J87" s="47"/>
      <c r="K87" s="47"/>
      <c r="L87" s="46" t="s">
        <v>204</v>
      </c>
      <c r="M87" s="46"/>
      <c r="N87" s="49"/>
      <c r="O87" s="48"/>
      <c r="P87" s="49"/>
      <c r="S87" s="254" t="s">
        <v>344</v>
      </c>
      <c r="T87" s="255"/>
      <c r="U87" s="255"/>
      <c r="V87" s="256"/>
      <c r="W87" s="49"/>
    </row>
    <row r="88" spans="2:23" s="90" customFormat="1" ht="12.6">
      <c r="B88" s="46" t="s">
        <v>340</v>
      </c>
      <c r="C88" s="46" t="s">
        <v>341</v>
      </c>
      <c r="D88" s="46" t="s">
        <v>193</v>
      </c>
      <c r="E88" s="47">
        <v>255</v>
      </c>
      <c r="F88" s="47"/>
      <c r="G88" s="46"/>
      <c r="H88" s="46"/>
      <c r="I88" s="47"/>
      <c r="J88" s="47"/>
      <c r="K88" s="47"/>
      <c r="L88" s="46" t="s">
        <v>194</v>
      </c>
      <c r="M88" s="46"/>
      <c r="N88" s="49"/>
      <c r="O88" s="48"/>
      <c r="P88" s="49"/>
      <c r="S88" s="254" t="s">
        <v>344</v>
      </c>
      <c r="T88" s="255"/>
      <c r="U88" s="255"/>
      <c r="V88" s="256"/>
      <c r="W88" s="49"/>
    </row>
    <row r="89" spans="2:23" s="90" customFormat="1" ht="43.2">
      <c r="B89" s="46" t="s">
        <v>342</v>
      </c>
      <c r="C89" s="46" t="s">
        <v>343</v>
      </c>
      <c r="D89" s="46" t="s">
        <v>47</v>
      </c>
      <c r="E89" s="47" t="s">
        <v>505</v>
      </c>
      <c r="F89" s="47"/>
      <c r="G89" s="46"/>
      <c r="H89" s="46"/>
      <c r="I89" s="47"/>
      <c r="J89" s="47"/>
      <c r="K89" s="47"/>
      <c r="L89" s="46" t="s">
        <v>204</v>
      </c>
      <c r="M89" s="46"/>
      <c r="N89" s="49"/>
      <c r="O89" s="48"/>
      <c r="P89" s="49"/>
      <c r="S89" s="99" t="s">
        <v>1316</v>
      </c>
      <c r="T89" s="95" t="s">
        <v>1403</v>
      </c>
      <c r="U89" s="99" t="s">
        <v>1316</v>
      </c>
      <c r="V89" s="49"/>
      <c r="W89" s="49"/>
    </row>
    <row r="90" spans="2:23" s="90" customFormat="1" ht="25.2">
      <c r="B90" s="46" t="s">
        <v>1313</v>
      </c>
      <c r="C90" s="46" t="s">
        <v>1314</v>
      </c>
      <c r="D90" s="46" t="s">
        <v>47</v>
      </c>
      <c r="E90" s="47">
        <v>10</v>
      </c>
      <c r="F90" s="47"/>
      <c r="G90" s="46"/>
      <c r="H90" s="46"/>
      <c r="I90" s="47"/>
      <c r="J90" s="47"/>
      <c r="K90" s="47"/>
      <c r="L90" s="46" t="s">
        <v>1322</v>
      </c>
      <c r="M90" s="46"/>
      <c r="N90" s="49"/>
      <c r="O90" s="48" t="s">
        <v>1321</v>
      </c>
      <c r="P90" s="86" t="s">
        <v>1407</v>
      </c>
      <c r="S90" s="257" t="s">
        <v>1313</v>
      </c>
      <c r="T90" s="258"/>
      <c r="U90" s="258"/>
      <c r="V90" s="259"/>
      <c r="W90" s="49"/>
    </row>
    <row r="91" spans="2:23" s="114" customFormat="1" ht="12.6">
      <c r="B91" s="122" t="s">
        <v>1402</v>
      </c>
      <c r="C91" s="122" t="s">
        <v>1401</v>
      </c>
      <c r="D91" s="46" t="s">
        <v>13</v>
      </c>
      <c r="E91" s="47">
        <v>40</v>
      </c>
      <c r="F91" s="116"/>
      <c r="G91" s="115"/>
      <c r="H91" s="115"/>
      <c r="I91" s="116"/>
      <c r="J91" s="116"/>
      <c r="K91" s="116"/>
      <c r="L91" s="46" t="s">
        <v>211</v>
      </c>
      <c r="M91" s="115"/>
      <c r="N91" s="117" t="s">
        <v>354</v>
      </c>
      <c r="O91" s="118"/>
      <c r="P91" s="117"/>
      <c r="Q91" s="119"/>
      <c r="R91" s="119"/>
      <c r="S91" s="251" t="s">
        <v>1402</v>
      </c>
      <c r="T91" s="252"/>
      <c r="U91" s="252"/>
      <c r="V91" s="253"/>
      <c r="W91" s="117"/>
    </row>
    <row r="92" spans="2:23" s="114" customFormat="1" ht="12.6">
      <c r="B92" s="122" t="s">
        <v>1377</v>
      </c>
      <c r="C92" s="122" t="s">
        <v>1503</v>
      </c>
      <c r="D92" s="46" t="s">
        <v>17</v>
      </c>
      <c r="E92" s="47">
        <v>8</v>
      </c>
      <c r="F92" s="116"/>
      <c r="G92" s="46" t="s">
        <v>134</v>
      </c>
      <c r="H92" s="115"/>
      <c r="I92" s="116"/>
      <c r="J92" s="116"/>
      <c r="K92" s="116"/>
      <c r="L92" s="115"/>
      <c r="M92" s="115"/>
      <c r="N92" s="117" t="s">
        <v>355</v>
      </c>
      <c r="O92" s="118"/>
      <c r="P92" s="117"/>
      <c r="Q92" s="119"/>
      <c r="R92" s="119"/>
      <c r="S92" s="251" t="s">
        <v>1378</v>
      </c>
      <c r="T92" s="252"/>
      <c r="U92" s="252"/>
      <c r="V92" s="253"/>
      <c r="W92" s="117"/>
    </row>
    <row r="93" spans="2:23" s="114" customFormat="1" ht="12.6">
      <c r="B93" s="122" t="s">
        <v>309</v>
      </c>
      <c r="C93" s="122" t="s">
        <v>1504</v>
      </c>
      <c r="D93" s="46" t="s">
        <v>13</v>
      </c>
      <c r="E93" s="47">
        <v>40</v>
      </c>
      <c r="F93" s="116"/>
      <c r="G93" s="115"/>
      <c r="H93" s="115"/>
      <c r="I93" s="116"/>
      <c r="J93" s="116"/>
      <c r="K93" s="116"/>
      <c r="L93" s="46" t="s">
        <v>211</v>
      </c>
      <c r="M93" s="115"/>
      <c r="N93" s="117" t="s">
        <v>354</v>
      </c>
      <c r="O93" s="118"/>
      <c r="P93" s="117"/>
      <c r="Q93" s="119"/>
      <c r="R93" s="119"/>
      <c r="S93" s="251" t="s">
        <v>1379</v>
      </c>
      <c r="T93" s="252"/>
      <c r="U93" s="252"/>
      <c r="V93" s="253"/>
      <c r="W93" s="117"/>
    </row>
    <row r="94" spans="2:23" s="90" customFormat="1" ht="12.6">
      <c r="B94" s="46" t="s">
        <v>287</v>
      </c>
      <c r="C94" s="46" t="s">
        <v>16</v>
      </c>
      <c r="D94" s="46" t="s">
        <v>17</v>
      </c>
      <c r="E94" s="47">
        <v>8</v>
      </c>
      <c r="F94" s="47"/>
      <c r="G94" s="46" t="s">
        <v>134</v>
      </c>
      <c r="H94" s="46"/>
      <c r="I94" s="47"/>
      <c r="J94" s="47"/>
      <c r="K94" s="47"/>
      <c r="L94" s="46"/>
      <c r="M94" s="46"/>
      <c r="N94" s="49" t="s">
        <v>287</v>
      </c>
      <c r="O94" s="48"/>
      <c r="P94" s="49"/>
      <c r="S94" s="231" t="s">
        <v>287</v>
      </c>
      <c r="T94" s="232"/>
      <c r="U94" s="232"/>
      <c r="V94" s="233"/>
      <c r="W94" s="49"/>
    </row>
    <row r="95" spans="2:23" s="90" customFormat="1" ht="12.6">
      <c r="B95" s="46" t="s">
        <v>288</v>
      </c>
      <c r="C95" s="46" t="s">
        <v>18</v>
      </c>
      <c r="D95" s="46" t="s">
        <v>17</v>
      </c>
      <c r="E95" s="47">
        <v>8</v>
      </c>
      <c r="F95" s="47"/>
      <c r="G95" s="46" t="s">
        <v>134</v>
      </c>
      <c r="H95" s="46"/>
      <c r="I95" s="47"/>
      <c r="J95" s="47"/>
      <c r="K95" s="47"/>
      <c r="L95" s="46"/>
      <c r="M95" s="46"/>
      <c r="N95" s="49" t="s">
        <v>288</v>
      </c>
      <c r="O95" s="48"/>
      <c r="P95" s="49"/>
      <c r="S95" s="231" t="s">
        <v>288</v>
      </c>
      <c r="T95" s="232"/>
      <c r="U95" s="232"/>
      <c r="V95" s="233"/>
      <c r="W95" s="49"/>
    </row>
    <row r="96" spans="2:23" s="90" customFormat="1" ht="12.6">
      <c r="B96" s="46" t="s">
        <v>19</v>
      </c>
      <c r="C96" s="46" t="s">
        <v>20</v>
      </c>
      <c r="D96" s="46" t="s">
        <v>13</v>
      </c>
      <c r="E96" s="47">
        <v>40</v>
      </c>
      <c r="F96" s="47"/>
      <c r="G96" s="46"/>
      <c r="H96" s="46"/>
      <c r="I96" s="47"/>
      <c r="J96" s="47"/>
      <c r="K96" s="47"/>
      <c r="L96" s="46" t="s">
        <v>211</v>
      </c>
      <c r="M96" s="46"/>
      <c r="N96" s="49" t="s">
        <v>19</v>
      </c>
      <c r="O96" s="48"/>
      <c r="P96" s="49"/>
      <c r="S96" s="231" t="s">
        <v>19</v>
      </c>
      <c r="T96" s="232"/>
      <c r="U96" s="232"/>
      <c r="V96" s="233"/>
      <c r="W96" s="49"/>
    </row>
    <row r="97" spans="2:23" s="90" customFormat="1" ht="12.6">
      <c r="B97" s="46" t="s">
        <v>21</v>
      </c>
      <c r="C97" s="46" t="s">
        <v>22</v>
      </c>
      <c r="D97" s="46" t="s">
        <v>13</v>
      </c>
      <c r="E97" s="47">
        <v>40</v>
      </c>
      <c r="F97" s="47"/>
      <c r="G97" s="46"/>
      <c r="H97" s="46"/>
      <c r="I97" s="47"/>
      <c r="J97" s="47"/>
      <c r="K97" s="47"/>
      <c r="L97" s="46" t="s">
        <v>211</v>
      </c>
      <c r="M97" s="46"/>
      <c r="N97" s="49" t="s">
        <v>21</v>
      </c>
      <c r="O97" s="48"/>
      <c r="P97" s="49"/>
      <c r="S97" s="231" t="s">
        <v>21</v>
      </c>
      <c r="T97" s="232"/>
      <c r="U97" s="232"/>
      <c r="V97" s="233"/>
      <c r="W97" s="49"/>
    </row>
    <row r="98" spans="2:23" s="90" customFormat="1" ht="25.2">
      <c r="B98" s="46" t="s">
        <v>45</v>
      </c>
      <c r="C98" s="46" t="s">
        <v>46</v>
      </c>
      <c r="D98" s="46" t="s">
        <v>13</v>
      </c>
      <c r="E98" s="47">
        <v>10</v>
      </c>
      <c r="F98" s="47"/>
      <c r="G98" s="46"/>
      <c r="H98" s="46"/>
      <c r="I98" s="47"/>
      <c r="J98" s="47"/>
      <c r="K98" s="47"/>
      <c r="L98" s="46" t="s">
        <v>290</v>
      </c>
      <c r="M98" s="46"/>
      <c r="N98" s="49" t="s">
        <v>45</v>
      </c>
      <c r="O98" s="48" t="s">
        <v>63</v>
      </c>
      <c r="P98" s="87" t="s">
        <v>1406</v>
      </c>
      <c r="S98" s="228" t="s">
        <v>45</v>
      </c>
      <c r="T98" s="229"/>
      <c r="U98" s="229"/>
      <c r="V98" s="230"/>
      <c r="W98" s="49"/>
    </row>
    <row r="99" spans="2:23" s="90" customFormat="1" ht="12.6">
      <c r="B99" s="46"/>
      <c r="C99" s="46"/>
      <c r="D99" s="46"/>
      <c r="E99" s="47"/>
      <c r="F99" s="47"/>
      <c r="G99" s="46"/>
      <c r="H99" s="46"/>
      <c r="I99" s="47"/>
      <c r="J99" s="47"/>
      <c r="K99" s="47"/>
      <c r="L99" s="46"/>
      <c r="M99" s="46"/>
      <c r="N99" s="49"/>
      <c r="O99" s="48"/>
      <c r="P99" s="49"/>
      <c r="S99" s="49"/>
      <c r="T99" s="49"/>
      <c r="U99" s="49"/>
      <c r="V99" s="49"/>
      <c r="W99" s="49"/>
    </row>
    <row r="100" spans="2:23" s="90" customFormat="1" ht="12.6"/>
    <row r="101" spans="2:23" s="90" customFormat="1" ht="12.6"/>
    <row r="102" spans="2:23" s="90" customFormat="1" ht="12.6"/>
  </sheetData>
  <mergeCells count="67">
    <mergeCell ref="S25:V25"/>
    <mergeCell ref="S26:V26"/>
    <mergeCell ref="S27:V27"/>
    <mergeCell ref="S20:U20"/>
    <mergeCell ref="S11:V11"/>
    <mergeCell ref="S12:V12"/>
    <mergeCell ref="S15:V15"/>
    <mergeCell ref="S18:V18"/>
    <mergeCell ref="S24:U24"/>
    <mergeCell ref="S21:U21"/>
    <mergeCell ref="S22:U22"/>
    <mergeCell ref="S23:U23"/>
    <mergeCell ref="D5:F5"/>
    <mergeCell ref="H5:P5"/>
    <mergeCell ref="D6:F6"/>
    <mergeCell ref="H6:P6"/>
    <mergeCell ref="S10:V10"/>
    <mergeCell ref="S9:V9"/>
    <mergeCell ref="S28:V28"/>
    <mergeCell ref="S29:V29"/>
    <mergeCell ref="S30:V30"/>
    <mergeCell ref="S31:V31"/>
    <mergeCell ref="S32:V32"/>
    <mergeCell ref="S38:U38"/>
    <mergeCell ref="S33:V33"/>
    <mergeCell ref="S34:V34"/>
    <mergeCell ref="S35:V35"/>
    <mergeCell ref="S36:V36"/>
    <mergeCell ref="S40:V40"/>
    <mergeCell ref="S41:V41"/>
    <mergeCell ref="S42:V42"/>
    <mergeCell ref="S43:V43"/>
    <mergeCell ref="S44:V44"/>
    <mergeCell ref="S45:V45"/>
    <mergeCell ref="S72:V72"/>
    <mergeCell ref="S73:V73"/>
    <mergeCell ref="S74:V74"/>
    <mergeCell ref="S75:V75"/>
    <mergeCell ref="S54:U54"/>
    <mergeCell ref="S55:U55"/>
    <mergeCell ref="S56:U56"/>
    <mergeCell ref="S57:U57"/>
    <mergeCell ref="S58:U58"/>
    <mergeCell ref="S59:U59"/>
    <mergeCell ref="S62:U62"/>
    <mergeCell ref="S76:V76"/>
    <mergeCell ref="S77:V77"/>
    <mergeCell ref="S78:V78"/>
    <mergeCell ref="S79:V79"/>
    <mergeCell ref="S80:V80"/>
    <mergeCell ref="S81:V81"/>
    <mergeCell ref="S82:V82"/>
    <mergeCell ref="S83:V83"/>
    <mergeCell ref="S84:V84"/>
    <mergeCell ref="S85:V85"/>
    <mergeCell ref="S91:V91"/>
    <mergeCell ref="S92:V92"/>
    <mergeCell ref="S93:V93"/>
    <mergeCell ref="S86:V86"/>
    <mergeCell ref="S87:V87"/>
    <mergeCell ref="S88:V88"/>
    <mergeCell ref="S90:V90"/>
    <mergeCell ref="S98:V98"/>
    <mergeCell ref="S97:V97"/>
    <mergeCell ref="S96:V96"/>
    <mergeCell ref="S95:V95"/>
    <mergeCell ref="S94:V94"/>
  </mergeCells>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C8AEF-BE6A-47F0-9A22-B175F3C7E552}">
  <sheetPr codeName="Sheet7">
    <tabColor theme="7" tint="0.79998168889431442"/>
  </sheetPr>
  <dimension ref="A2:AC105"/>
  <sheetViews>
    <sheetView showGridLines="0" zoomScale="85" zoomScaleNormal="85" workbookViewId="0">
      <selection activeCell="B18" sqref="B18"/>
    </sheetView>
  </sheetViews>
  <sheetFormatPr defaultColWidth="8.90625" defaultRowHeight="15"/>
  <cols>
    <col min="1" max="1" width="2.54296875" style="44" customWidth="1"/>
    <col min="2" max="3" width="22.81640625" style="44" customWidth="1"/>
    <col min="4" max="4" width="7.1796875" style="44" bestFit="1" customWidth="1"/>
    <col min="5" max="5" width="5.1796875" style="44" customWidth="1"/>
    <col min="6" max="6" width="4.453125" style="44" customWidth="1"/>
    <col min="7" max="7" width="15.36328125" style="44" bestFit="1" customWidth="1"/>
    <col min="8" max="8" width="4.453125" style="44" customWidth="1"/>
    <col min="9" max="9" width="3.08984375" style="44" bestFit="1" customWidth="1"/>
    <col min="10" max="10" width="3.1796875" style="44" bestFit="1" customWidth="1"/>
    <col min="11" max="11" width="3" style="44" bestFit="1" customWidth="1"/>
    <col min="12" max="12" width="12" style="44" bestFit="1" customWidth="1"/>
    <col min="13" max="13" width="4.453125" style="44" customWidth="1"/>
    <col min="14" max="14" width="30.453125" style="44" customWidth="1"/>
    <col min="15" max="15" width="27.36328125" style="44" customWidth="1"/>
    <col min="16" max="16" width="33.36328125" style="44" customWidth="1"/>
    <col min="17" max="17" width="2.36328125" style="44" customWidth="1"/>
    <col min="18" max="19" width="6.54296875" customWidth="1"/>
    <col min="20" max="20" width="15.1796875" customWidth="1"/>
    <col min="21" max="21" width="6.54296875" style="44" customWidth="1"/>
    <col min="22" max="26" width="20.6328125" style="44" customWidth="1"/>
    <col min="27" max="16384" width="8.90625" style="44"/>
  </cols>
  <sheetData>
    <row r="2" spans="1:29">
      <c r="A2" s="89"/>
      <c r="B2" s="112" t="s">
        <v>38</v>
      </c>
      <c r="C2" s="89"/>
      <c r="D2" s="89"/>
      <c r="E2" s="89"/>
      <c r="F2" s="89"/>
      <c r="G2" s="89"/>
      <c r="H2" s="89"/>
      <c r="I2" s="89"/>
      <c r="J2" s="89"/>
      <c r="K2" s="89"/>
      <c r="L2" s="89"/>
      <c r="M2" s="89"/>
      <c r="N2" s="89"/>
      <c r="O2" s="89"/>
      <c r="P2" s="89"/>
      <c r="Q2" s="89"/>
      <c r="R2" s="6"/>
      <c r="S2" s="6"/>
      <c r="T2" s="6"/>
      <c r="U2" s="89"/>
      <c r="V2" s="89"/>
      <c r="W2" s="89"/>
      <c r="X2" s="89"/>
      <c r="Y2" s="89"/>
      <c r="Z2" s="89"/>
      <c r="AA2" s="89"/>
      <c r="AB2" s="89"/>
      <c r="AC2" s="89"/>
    </row>
    <row r="3" spans="1:29" ht="7.5" customHeight="1">
      <c r="A3" s="74"/>
      <c r="B3" s="74"/>
      <c r="C3" s="74"/>
      <c r="D3" s="74"/>
      <c r="E3" s="74"/>
      <c r="F3" s="74"/>
      <c r="G3" s="74"/>
      <c r="H3" s="74"/>
      <c r="I3" s="74"/>
      <c r="J3" s="74"/>
      <c r="K3" s="74"/>
      <c r="L3" s="74"/>
      <c r="M3" s="74"/>
      <c r="N3" s="74"/>
      <c r="O3" s="74"/>
      <c r="P3" s="74"/>
      <c r="Q3" s="74"/>
      <c r="R3" s="1"/>
      <c r="S3" s="1"/>
      <c r="T3" s="1"/>
      <c r="U3" s="74"/>
      <c r="V3" s="74"/>
      <c r="W3" s="74"/>
      <c r="X3" s="74"/>
      <c r="Y3" s="74"/>
      <c r="Z3" s="74"/>
      <c r="AA3" s="74"/>
      <c r="AB3" s="74"/>
      <c r="AC3" s="74"/>
    </row>
    <row r="5" spans="1:29">
      <c r="B5" s="17" t="s">
        <v>30</v>
      </c>
      <c r="C5" s="17" t="s">
        <v>31</v>
      </c>
      <c r="D5" s="266" t="s">
        <v>37</v>
      </c>
      <c r="E5" s="267"/>
      <c r="F5" s="268"/>
      <c r="G5" s="17" t="s">
        <v>74</v>
      </c>
      <c r="H5" s="266" t="s">
        <v>85</v>
      </c>
      <c r="I5" s="267"/>
      <c r="J5" s="267"/>
      <c r="K5" s="267"/>
      <c r="L5" s="267"/>
      <c r="M5" s="267"/>
      <c r="N5" s="267"/>
      <c r="O5" s="267"/>
      <c r="P5" s="268"/>
      <c r="R5" t="s">
        <v>1859</v>
      </c>
    </row>
    <row r="6" spans="1:29">
      <c r="B6" s="30" t="s">
        <v>119</v>
      </c>
      <c r="C6" s="30" t="s">
        <v>1476</v>
      </c>
      <c r="D6" s="237" t="s">
        <v>94</v>
      </c>
      <c r="E6" s="238"/>
      <c r="F6" s="239"/>
      <c r="G6" s="45" t="s">
        <v>75</v>
      </c>
      <c r="H6" s="240" t="s">
        <v>420</v>
      </c>
      <c r="I6" s="241"/>
      <c r="J6" s="241"/>
      <c r="K6" s="241"/>
      <c r="L6" s="241"/>
      <c r="M6" s="241"/>
      <c r="N6" s="241"/>
      <c r="O6" s="241"/>
      <c r="P6" s="242"/>
      <c r="R6" t="s">
        <v>1862</v>
      </c>
      <c r="V6" s="44" t="s">
        <v>109</v>
      </c>
      <c r="W6" s="44" t="s">
        <v>109</v>
      </c>
      <c r="X6" s="44" t="s">
        <v>109</v>
      </c>
    </row>
    <row r="7" spans="1:29">
      <c r="R7" t="s">
        <v>1863</v>
      </c>
    </row>
    <row r="8" spans="1:29">
      <c r="B8" s="17" t="s">
        <v>32</v>
      </c>
      <c r="C8" s="17" t="s">
        <v>33</v>
      </c>
      <c r="D8" s="17" t="s">
        <v>34</v>
      </c>
      <c r="E8" s="109" t="s">
        <v>10</v>
      </c>
      <c r="F8" s="110" t="s">
        <v>23</v>
      </c>
      <c r="G8" s="110" t="s">
        <v>24</v>
      </c>
      <c r="H8" s="110" t="s">
        <v>25</v>
      </c>
      <c r="I8" s="110" t="s">
        <v>26</v>
      </c>
      <c r="J8" s="110" t="s">
        <v>27</v>
      </c>
      <c r="K8" s="110" t="s">
        <v>28</v>
      </c>
      <c r="L8" s="110" t="s">
        <v>29</v>
      </c>
      <c r="M8" s="110" t="s">
        <v>11</v>
      </c>
      <c r="N8" s="17" t="s">
        <v>35</v>
      </c>
      <c r="O8" s="17" t="s">
        <v>36</v>
      </c>
      <c r="P8" s="17" t="s">
        <v>12</v>
      </c>
      <c r="R8" s="88" t="s">
        <v>1858</v>
      </c>
      <c r="S8" s="88" t="s">
        <v>1866</v>
      </c>
      <c r="T8" s="88" t="s">
        <v>155</v>
      </c>
      <c r="V8" s="111" t="s">
        <v>1385</v>
      </c>
      <c r="W8" s="111" t="s">
        <v>1429</v>
      </c>
      <c r="X8" s="111" t="s">
        <v>1428</v>
      </c>
      <c r="Y8" s="17" t="s">
        <v>465</v>
      </c>
      <c r="Z8" s="17" t="s">
        <v>107</v>
      </c>
    </row>
    <row r="9" spans="1:29">
      <c r="B9" s="46" t="s">
        <v>421</v>
      </c>
      <c r="C9" s="46" t="s">
        <v>422</v>
      </c>
      <c r="D9" s="46" t="s">
        <v>64</v>
      </c>
      <c r="E9" s="47">
        <v>8</v>
      </c>
      <c r="F9" s="47"/>
      <c r="G9" s="46"/>
      <c r="H9" s="46"/>
      <c r="I9" s="47"/>
      <c r="J9" s="47" t="s">
        <v>14</v>
      </c>
      <c r="K9" s="47"/>
      <c r="L9" s="46"/>
      <c r="M9" s="46" t="s">
        <v>14</v>
      </c>
      <c r="N9" s="48"/>
      <c r="O9" s="49"/>
      <c r="P9" s="49"/>
      <c r="R9" s="162" t="s">
        <v>136</v>
      </c>
      <c r="S9" s="162" t="s">
        <v>136</v>
      </c>
      <c r="T9" s="159"/>
      <c r="V9" s="49" t="s">
        <v>466</v>
      </c>
      <c r="W9" s="49" t="s">
        <v>466</v>
      </c>
      <c r="X9" s="49" t="s">
        <v>466</v>
      </c>
      <c r="Y9" s="121" t="s">
        <v>344</v>
      </c>
      <c r="Z9" s="49"/>
    </row>
    <row r="10" spans="1:29">
      <c r="B10" s="46" t="s">
        <v>178</v>
      </c>
      <c r="C10" s="46" t="s">
        <v>42</v>
      </c>
      <c r="D10" s="46" t="s">
        <v>13</v>
      </c>
      <c r="E10" s="47">
        <v>8</v>
      </c>
      <c r="F10" s="47"/>
      <c r="G10" s="46"/>
      <c r="H10" s="46"/>
      <c r="I10" s="47"/>
      <c r="J10" s="47"/>
      <c r="K10" s="47"/>
      <c r="L10" s="46" t="s">
        <v>179</v>
      </c>
      <c r="M10" s="46"/>
      <c r="N10" s="49"/>
      <c r="O10" s="49"/>
      <c r="P10" s="49"/>
      <c r="R10" s="162" t="s">
        <v>136</v>
      </c>
      <c r="S10" s="162" t="s">
        <v>136</v>
      </c>
      <c r="T10" s="159"/>
      <c r="V10" s="49" t="s">
        <v>464</v>
      </c>
      <c r="W10" s="49" t="s">
        <v>464</v>
      </c>
      <c r="X10" s="49" t="s">
        <v>464</v>
      </c>
      <c r="Y10" s="49" t="s">
        <v>464</v>
      </c>
      <c r="Z10" s="49"/>
    </row>
    <row r="11" spans="1:29">
      <c r="B11" s="46" t="s">
        <v>423</v>
      </c>
      <c r="C11" s="46" t="s">
        <v>181</v>
      </c>
      <c r="D11" s="46" t="s">
        <v>13</v>
      </c>
      <c r="E11" s="47">
        <v>8</v>
      </c>
      <c r="F11" s="47"/>
      <c r="G11" s="46"/>
      <c r="H11" s="46"/>
      <c r="I11" s="47"/>
      <c r="J11" s="47"/>
      <c r="K11" s="47"/>
      <c r="L11" s="46" t="s">
        <v>179</v>
      </c>
      <c r="M11" s="46"/>
      <c r="N11" s="49"/>
      <c r="O11" s="49"/>
      <c r="P11" s="49"/>
      <c r="R11" s="162" t="s">
        <v>136</v>
      </c>
      <c r="S11" s="162" t="s">
        <v>136</v>
      </c>
      <c r="T11" s="159"/>
      <c r="V11" s="121" t="s">
        <v>344</v>
      </c>
      <c r="W11" s="121" t="s">
        <v>344</v>
      </c>
      <c r="X11" s="121" t="s">
        <v>344</v>
      </c>
      <c r="Y11" s="121" t="s">
        <v>344</v>
      </c>
      <c r="Z11" s="49"/>
    </row>
    <row r="12" spans="1:29">
      <c r="B12" s="85" t="s">
        <v>1477</v>
      </c>
      <c r="C12" s="46" t="s">
        <v>425</v>
      </c>
      <c r="D12" s="85" t="s">
        <v>47</v>
      </c>
      <c r="E12" s="47">
        <v>100</v>
      </c>
      <c r="F12" s="47"/>
      <c r="G12" s="46"/>
      <c r="H12" s="46"/>
      <c r="I12" s="47" t="s">
        <v>14</v>
      </c>
      <c r="J12" s="47"/>
      <c r="K12" s="47"/>
      <c r="L12" s="46" t="s">
        <v>426</v>
      </c>
      <c r="M12" s="46"/>
      <c r="N12" s="49"/>
      <c r="O12" s="49" t="s">
        <v>473</v>
      </c>
      <c r="P12" s="49"/>
      <c r="R12" s="162" t="s">
        <v>136</v>
      </c>
      <c r="S12" s="162" t="s">
        <v>136</v>
      </c>
      <c r="T12" s="159"/>
      <c r="V12" s="49" t="s">
        <v>424</v>
      </c>
      <c r="W12" s="49" t="s">
        <v>424</v>
      </c>
      <c r="X12" s="49" t="s">
        <v>424</v>
      </c>
      <c r="Y12" s="49" t="s">
        <v>424</v>
      </c>
      <c r="Z12" s="49"/>
    </row>
    <row r="13" spans="1:29">
      <c r="B13" s="85" t="s">
        <v>1478</v>
      </c>
      <c r="C13" s="46" t="s">
        <v>427</v>
      </c>
      <c r="D13" s="85" t="s">
        <v>47</v>
      </c>
      <c r="E13" s="47">
        <v>100</v>
      </c>
      <c r="F13" s="47"/>
      <c r="G13" s="46"/>
      <c r="H13" s="46"/>
      <c r="I13" s="47"/>
      <c r="J13" s="47"/>
      <c r="K13" s="47"/>
      <c r="L13" s="46" t="s">
        <v>426</v>
      </c>
      <c r="M13" s="46"/>
      <c r="N13" s="86" t="s">
        <v>1393</v>
      </c>
      <c r="O13" s="49"/>
      <c r="P13" s="49"/>
      <c r="R13" s="162" t="s">
        <v>136</v>
      </c>
      <c r="S13" s="162" t="s">
        <v>136</v>
      </c>
      <c r="T13" s="159"/>
      <c r="V13" s="57" t="s">
        <v>344</v>
      </c>
      <c r="W13" s="57" t="s">
        <v>344</v>
      </c>
      <c r="X13" s="57" t="s">
        <v>344</v>
      </c>
      <c r="Y13" s="57" t="s">
        <v>344</v>
      </c>
      <c r="Z13" s="49"/>
    </row>
    <row r="14" spans="1:29">
      <c r="B14" s="85" t="s">
        <v>1849</v>
      </c>
      <c r="C14" s="85" t="s">
        <v>1850</v>
      </c>
      <c r="D14" s="85" t="s">
        <v>1855</v>
      </c>
      <c r="E14" s="84">
        <v>100</v>
      </c>
      <c r="F14" s="84"/>
      <c r="G14" s="85"/>
      <c r="H14" s="85"/>
      <c r="I14" s="84"/>
      <c r="J14" s="84"/>
      <c r="K14" s="84"/>
      <c r="L14" s="85" t="s">
        <v>76</v>
      </c>
      <c r="M14" s="46"/>
      <c r="N14" s="86" t="s">
        <v>1851</v>
      </c>
      <c r="O14" s="49"/>
      <c r="P14" s="49"/>
      <c r="R14" s="162" t="s">
        <v>136</v>
      </c>
      <c r="S14" s="162" t="s">
        <v>136</v>
      </c>
      <c r="T14" s="159"/>
      <c r="V14" s="57"/>
      <c r="W14" s="57"/>
      <c r="X14" s="57"/>
      <c r="Y14" s="57"/>
      <c r="Z14" s="49"/>
    </row>
    <row r="15" spans="1:29">
      <c r="B15" s="46" t="s">
        <v>1848</v>
      </c>
      <c r="C15" s="46" t="s">
        <v>429</v>
      </c>
      <c r="D15" s="46" t="s">
        <v>193</v>
      </c>
      <c r="E15" s="47">
        <v>255</v>
      </c>
      <c r="F15" s="47"/>
      <c r="G15" s="46"/>
      <c r="H15" s="46"/>
      <c r="I15" s="47"/>
      <c r="J15" s="47"/>
      <c r="K15" s="47"/>
      <c r="L15" s="46" t="s">
        <v>194</v>
      </c>
      <c r="M15" s="46"/>
      <c r="N15" s="87" t="s">
        <v>1852</v>
      </c>
      <c r="O15" s="49"/>
      <c r="P15" s="49"/>
      <c r="R15" s="162" t="s">
        <v>136</v>
      </c>
      <c r="S15" s="162" t="s">
        <v>136</v>
      </c>
      <c r="T15" s="159"/>
      <c r="V15" s="49" t="s">
        <v>428</v>
      </c>
      <c r="W15" s="49" t="s">
        <v>428</v>
      </c>
      <c r="X15" s="49" t="s">
        <v>428</v>
      </c>
      <c r="Y15" s="49" t="s">
        <v>428</v>
      </c>
      <c r="Z15" s="49"/>
    </row>
    <row r="16" spans="1:29">
      <c r="B16" s="46" t="s">
        <v>430</v>
      </c>
      <c r="C16" s="46" t="s">
        <v>431</v>
      </c>
      <c r="D16" s="46" t="s">
        <v>47</v>
      </c>
      <c r="E16" s="47" t="s">
        <v>48</v>
      </c>
      <c r="F16" s="47"/>
      <c r="G16" s="46"/>
      <c r="H16" s="46"/>
      <c r="I16" s="47"/>
      <c r="J16" s="47"/>
      <c r="K16" s="47"/>
      <c r="L16" s="46" t="s">
        <v>204</v>
      </c>
      <c r="M16" s="46"/>
      <c r="N16" s="87" t="s">
        <v>1853</v>
      </c>
      <c r="O16" s="49"/>
      <c r="P16" s="49"/>
      <c r="R16" s="162" t="s">
        <v>136</v>
      </c>
      <c r="S16" s="162" t="s">
        <v>136</v>
      </c>
      <c r="T16" s="159"/>
      <c r="V16" s="49"/>
      <c r="W16" s="49"/>
      <c r="X16" s="49"/>
      <c r="Y16" s="49" t="s">
        <v>472</v>
      </c>
      <c r="Z16" s="49"/>
    </row>
    <row r="17" spans="2:27" ht="88.2">
      <c r="B17" s="46" t="s">
        <v>432</v>
      </c>
      <c r="C17" s="46" t="s">
        <v>433</v>
      </c>
      <c r="D17" s="46" t="s">
        <v>13</v>
      </c>
      <c r="E17" s="47">
        <v>50</v>
      </c>
      <c r="F17" s="47"/>
      <c r="G17" s="46"/>
      <c r="H17" s="46"/>
      <c r="I17" s="47"/>
      <c r="J17" s="47"/>
      <c r="K17" s="47"/>
      <c r="L17" s="46" t="s">
        <v>434</v>
      </c>
      <c r="M17" s="46"/>
      <c r="N17" s="49"/>
      <c r="O17" s="48" t="s">
        <v>1842</v>
      </c>
      <c r="P17" s="86" t="s">
        <v>1839</v>
      </c>
      <c r="R17" s="162" t="s">
        <v>136</v>
      </c>
      <c r="S17" s="162" t="s">
        <v>136</v>
      </c>
      <c r="T17" s="159"/>
      <c r="V17" s="86" t="s">
        <v>1392</v>
      </c>
      <c r="W17" s="86" t="s">
        <v>1391</v>
      </c>
      <c r="X17" s="86" t="s">
        <v>1390</v>
      </c>
      <c r="Y17" s="87" t="s">
        <v>1389</v>
      </c>
      <c r="Z17" s="49"/>
    </row>
    <row r="18" spans="2:27" s="29" customFormat="1" ht="75.599999999999994">
      <c r="B18" s="85" t="s">
        <v>1959</v>
      </c>
      <c r="C18" s="293" t="s">
        <v>1960</v>
      </c>
      <c r="D18" s="85" t="s">
        <v>13</v>
      </c>
      <c r="E18" s="84">
        <v>2</v>
      </c>
      <c r="F18" s="84"/>
      <c r="G18" s="85"/>
      <c r="H18" s="85"/>
      <c r="I18" s="84"/>
      <c r="J18" s="84"/>
      <c r="K18" s="84"/>
      <c r="L18" s="85" t="s">
        <v>1962</v>
      </c>
      <c r="M18" s="85"/>
      <c r="N18" s="87" t="s">
        <v>1959</v>
      </c>
      <c r="O18" s="86" t="s">
        <v>1961</v>
      </c>
      <c r="P18" s="86"/>
      <c r="R18" s="183"/>
      <c r="S18" s="183"/>
      <c r="T18" s="294"/>
      <c r="V18" s="86"/>
      <c r="W18" s="86"/>
      <c r="X18" s="86"/>
      <c r="Y18" s="87"/>
      <c r="Z18" s="87"/>
      <c r="AA18" s="29" t="s">
        <v>1965</v>
      </c>
    </row>
    <row r="19" spans="2:27" ht="37.799999999999997">
      <c r="B19" s="46" t="s">
        <v>435</v>
      </c>
      <c r="C19" s="46" t="s">
        <v>436</v>
      </c>
      <c r="D19" s="46" t="s">
        <v>193</v>
      </c>
      <c r="E19" s="47">
        <v>100</v>
      </c>
      <c r="F19" s="47"/>
      <c r="G19" s="46"/>
      <c r="H19" s="46"/>
      <c r="I19" s="47"/>
      <c r="J19" s="47"/>
      <c r="K19" s="47"/>
      <c r="L19" s="46" t="s">
        <v>254</v>
      </c>
      <c r="M19" s="46"/>
      <c r="N19" s="49"/>
      <c r="O19" s="48" t="s">
        <v>474</v>
      </c>
      <c r="P19" s="49"/>
      <c r="R19" s="162" t="s">
        <v>136</v>
      </c>
      <c r="S19" s="162" t="s">
        <v>136</v>
      </c>
      <c r="T19" s="159"/>
      <c r="V19" s="48" t="s">
        <v>476</v>
      </c>
      <c r="W19" s="48" t="s">
        <v>476</v>
      </c>
      <c r="X19" s="48" t="s">
        <v>476</v>
      </c>
      <c r="Y19" s="57" t="s">
        <v>344</v>
      </c>
      <c r="Z19" s="49"/>
    </row>
    <row r="20" spans="2:27">
      <c r="B20" s="46" t="s">
        <v>437</v>
      </c>
      <c r="C20" s="46" t="s">
        <v>438</v>
      </c>
      <c r="D20" s="46" t="s">
        <v>193</v>
      </c>
      <c r="E20" s="47">
        <v>100</v>
      </c>
      <c r="F20" s="47"/>
      <c r="G20" s="46"/>
      <c r="H20" s="46"/>
      <c r="I20" s="47"/>
      <c r="J20" s="47"/>
      <c r="K20" s="47"/>
      <c r="L20" s="46" t="s">
        <v>254</v>
      </c>
      <c r="M20" s="46"/>
      <c r="N20" s="49"/>
      <c r="O20" s="49"/>
      <c r="P20" s="49"/>
      <c r="R20" s="162" t="s">
        <v>136</v>
      </c>
      <c r="S20" s="162" t="s">
        <v>136</v>
      </c>
      <c r="T20" s="159"/>
      <c r="V20" s="57" t="s">
        <v>344</v>
      </c>
      <c r="W20" s="57" t="s">
        <v>344</v>
      </c>
      <c r="X20" s="57" t="s">
        <v>344</v>
      </c>
      <c r="Y20" s="57" t="s">
        <v>344</v>
      </c>
      <c r="Z20" s="49"/>
    </row>
    <row r="21" spans="2:27">
      <c r="B21" s="46" t="s">
        <v>439</v>
      </c>
      <c r="C21" s="46" t="s">
        <v>440</v>
      </c>
      <c r="D21" s="46" t="s">
        <v>193</v>
      </c>
      <c r="E21" s="47">
        <v>100</v>
      </c>
      <c r="F21" s="47"/>
      <c r="G21" s="46"/>
      <c r="H21" s="46"/>
      <c r="I21" s="47"/>
      <c r="J21" s="47"/>
      <c r="K21" s="47"/>
      <c r="L21" s="46" t="s">
        <v>254</v>
      </c>
      <c r="M21" s="46"/>
      <c r="N21" s="49"/>
      <c r="O21" s="49"/>
      <c r="P21" s="49"/>
      <c r="R21" s="162" t="s">
        <v>136</v>
      </c>
      <c r="S21" s="162" t="s">
        <v>136</v>
      </c>
      <c r="T21" s="159"/>
      <c r="V21" s="57" t="s">
        <v>344</v>
      </c>
      <c r="W21" s="57" t="s">
        <v>344</v>
      </c>
      <c r="X21" s="57" t="s">
        <v>344</v>
      </c>
      <c r="Y21" s="57" t="s">
        <v>344</v>
      </c>
      <c r="Z21" s="49"/>
    </row>
    <row r="22" spans="2:27">
      <c r="B22" s="46" t="s">
        <v>441</v>
      </c>
      <c r="C22" s="46" t="s">
        <v>442</v>
      </c>
      <c r="D22" s="46" t="s">
        <v>193</v>
      </c>
      <c r="E22" s="47">
        <v>100</v>
      </c>
      <c r="F22" s="47"/>
      <c r="G22" s="46"/>
      <c r="H22" s="46"/>
      <c r="I22" s="47"/>
      <c r="J22" s="47"/>
      <c r="K22" s="47"/>
      <c r="L22" s="46" t="s">
        <v>254</v>
      </c>
      <c r="M22" s="46"/>
      <c r="N22" s="49"/>
      <c r="O22" s="49"/>
      <c r="P22" s="49"/>
      <c r="R22" s="162" t="s">
        <v>136</v>
      </c>
      <c r="S22" s="162" t="s">
        <v>136</v>
      </c>
      <c r="T22" s="159"/>
      <c r="V22" s="57" t="s">
        <v>344</v>
      </c>
      <c r="W22" s="57" t="s">
        <v>344</v>
      </c>
      <c r="X22" s="57" t="s">
        <v>344</v>
      </c>
      <c r="Y22" s="57" t="s">
        <v>344</v>
      </c>
      <c r="Z22" s="49"/>
    </row>
    <row r="23" spans="2:27">
      <c r="B23" s="46" t="s">
        <v>443</v>
      </c>
      <c r="C23" s="46" t="s">
        <v>444</v>
      </c>
      <c r="D23" s="46" t="s">
        <v>193</v>
      </c>
      <c r="E23" s="47">
        <v>100</v>
      </c>
      <c r="F23" s="47"/>
      <c r="G23" s="46"/>
      <c r="H23" s="46"/>
      <c r="I23" s="47"/>
      <c r="J23" s="47"/>
      <c r="K23" s="47"/>
      <c r="L23" s="46" t="s">
        <v>254</v>
      </c>
      <c r="M23" s="46"/>
      <c r="N23" s="48"/>
      <c r="O23" s="49"/>
      <c r="P23" s="49"/>
      <c r="R23" s="162" t="s">
        <v>136</v>
      </c>
      <c r="S23" s="162" t="s">
        <v>136</v>
      </c>
      <c r="T23" s="159"/>
      <c r="V23" s="57" t="s">
        <v>344</v>
      </c>
      <c r="W23" s="57" t="s">
        <v>344</v>
      </c>
      <c r="X23" s="57" t="s">
        <v>344</v>
      </c>
      <c r="Y23" s="57" t="s">
        <v>344</v>
      </c>
      <c r="Z23" s="49"/>
    </row>
    <row r="24" spans="2:27" ht="25.2">
      <c r="B24" s="46" t="s">
        <v>445</v>
      </c>
      <c r="C24" s="46" t="s">
        <v>1905</v>
      </c>
      <c r="D24" s="135" t="s">
        <v>13</v>
      </c>
      <c r="E24" s="47" t="s">
        <v>505</v>
      </c>
      <c r="F24" s="47"/>
      <c r="G24" s="46"/>
      <c r="H24" s="46"/>
      <c r="I24" s="47"/>
      <c r="J24" s="47"/>
      <c r="K24" s="47"/>
      <c r="L24" s="46" t="s">
        <v>204</v>
      </c>
      <c r="M24" s="46" t="s">
        <v>14</v>
      </c>
      <c r="N24" s="49"/>
      <c r="O24" s="49"/>
      <c r="P24" s="49"/>
      <c r="R24" s="162" t="s">
        <v>136</v>
      </c>
      <c r="S24" s="162" t="s">
        <v>136</v>
      </c>
      <c r="T24" s="159"/>
      <c r="V24" s="48" t="s">
        <v>1386</v>
      </c>
      <c r="W24" s="48" t="s">
        <v>1388</v>
      </c>
      <c r="X24" s="48" t="s">
        <v>1387</v>
      </c>
      <c r="Y24" s="48" t="s">
        <v>1423</v>
      </c>
      <c r="Z24" s="49"/>
    </row>
    <row r="25" spans="2:27">
      <c r="B25" s="46" t="s">
        <v>446</v>
      </c>
      <c r="C25" s="46" t="s">
        <v>447</v>
      </c>
      <c r="D25" s="135" t="s">
        <v>13</v>
      </c>
      <c r="E25" s="47" t="s">
        <v>505</v>
      </c>
      <c r="F25" s="47"/>
      <c r="G25" s="46"/>
      <c r="H25" s="46"/>
      <c r="I25" s="47"/>
      <c r="J25" s="47"/>
      <c r="K25" s="47"/>
      <c r="L25" s="46" t="s">
        <v>204</v>
      </c>
      <c r="M25" s="46" t="s">
        <v>14</v>
      </c>
      <c r="N25" s="49"/>
      <c r="O25" s="49"/>
      <c r="P25" s="49"/>
      <c r="R25" s="162" t="s">
        <v>136</v>
      </c>
      <c r="S25" s="162" t="s">
        <v>136</v>
      </c>
      <c r="T25" s="159"/>
      <c r="V25" s="57" t="s">
        <v>344</v>
      </c>
      <c r="W25" s="57" t="s">
        <v>344</v>
      </c>
      <c r="X25" s="87" t="s">
        <v>467</v>
      </c>
      <c r="Y25" s="57" t="s">
        <v>344</v>
      </c>
      <c r="Z25" s="49"/>
    </row>
    <row r="26" spans="2:27">
      <c r="B26" s="46" t="s">
        <v>448</v>
      </c>
      <c r="C26" s="46" t="s">
        <v>449</v>
      </c>
      <c r="D26" s="135" t="s">
        <v>13</v>
      </c>
      <c r="E26" s="47" t="s">
        <v>505</v>
      </c>
      <c r="F26" s="47"/>
      <c r="G26" s="46"/>
      <c r="H26" s="46"/>
      <c r="I26" s="47"/>
      <c r="J26" s="47"/>
      <c r="K26" s="47"/>
      <c r="L26" s="46" t="s">
        <v>204</v>
      </c>
      <c r="M26" s="46" t="s">
        <v>14</v>
      </c>
      <c r="N26" s="49"/>
      <c r="O26" s="49"/>
      <c r="P26" s="49"/>
      <c r="R26" s="162" t="s">
        <v>136</v>
      </c>
      <c r="S26" s="162" t="s">
        <v>136</v>
      </c>
      <c r="T26" s="159"/>
      <c r="V26" s="57" t="s">
        <v>344</v>
      </c>
      <c r="W26" s="57" t="s">
        <v>344</v>
      </c>
      <c r="X26" s="87" t="s">
        <v>470</v>
      </c>
      <c r="Y26" s="57" t="s">
        <v>344</v>
      </c>
      <c r="Z26" s="49"/>
    </row>
    <row r="27" spans="2:27">
      <c r="B27" s="46" t="s">
        <v>450</v>
      </c>
      <c r="C27" s="46" t="s">
        <v>451</v>
      </c>
      <c r="D27" s="135" t="s">
        <v>13</v>
      </c>
      <c r="E27" s="47" t="s">
        <v>505</v>
      </c>
      <c r="F27" s="47"/>
      <c r="G27" s="46"/>
      <c r="H27" s="46"/>
      <c r="I27" s="47"/>
      <c r="J27" s="47"/>
      <c r="K27" s="47"/>
      <c r="L27" s="46" t="s">
        <v>204</v>
      </c>
      <c r="M27" s="46" t="s">
        <v>14</v>
      </c>
      <c r="N27" s="49"/>
      <c r="O27" s="49"/>
      <c r="P27" s="49"/>
      <c r="R27" s="162" t="s">
        <v>136</v>
      </c>
      <c r="S27" s="162" t="s">
        <v>136</v>
      </c>
      <c r="T27" s="159"/>
      <c r="V27" s="57" t="s">
        <v>344</v>
      </c>
      <c r="W27" s="57" t="s">
        <v>344</v>
      </c>
      <c r="X27" s="87" t="s">
        <v>468</v>
      </c>
      <c r="Y27" s="57" t="s">
        <v>344</v>
      </c>
      <c r="Z27" s="49"/>
    </row>
    <row r="28" spans="2:27">
      <c r="B28" s="46" t="s">
        <v>452</v>
      </c>
      <c r="C28" s="46" t="s">
        <v>453</v>
      </c>
      <c r="D28" s="135" t="s">
        <v>13</v>
      </c>
      <c r="E28" s="47" t="s">
        <v>505</v>
      </c>
      <c r="F28" s="47"/>
      <c r="G28" s="46"/>
      <c r="H28" s="46"/>
      <c r="I28" s="47"/>
      <c r="J28" s="47"/>
      <c r="K28" s="47"/>
      <c r="L28" s="46" t="s">
        <v>204</v>
      </c>
      <c r="M28" s="46" t="s">
        <v>14</v>
      </c>
      <c r="N28" s="49"/>
      <c r="O28" s="49"/>
      <c r="P28" s="49"/>
      <c r="R28" s="162" t="s">
        <v>136</v>
      </c>
      <c r="S28" s="162" t="s">
        <v>136</v>
      </c>
      <c r="T28" s="159"/>
      <c r="V28" s="57" t="s">
        <v>344</v>
      </c>
      <c r="W28" s="57" t="s">
        <v>344</v>
      </c>
      <c r="X28" s="87" t="s">
        <v>471</v>
      </c>
      <c r="Y28" s="57" t="s">
        <v>344</v>
      </c>
      <c r="Z28" s="49"/>
    </row>
    <row r="29" spans="2:27">
      <c r="B29" s="46" t="s">
        <v>454</v>
      </c>
      <c r="C29" s="46" t="s">
        <v>455</v>
      </c>
      <c r="D29" s="135" t="s">
        <v>13</v>
      </c>
      <c r="E29" s="47" t="s">
        <v>505</v>
      </c>
      <c r="F29" s="47"/>
      <c r="G29" s="46"/>
      <c r="H29" s="46"/>
      <c r="I29" s="47"/>
      <c r="J29" s="47"/>
      <c r="K29" s="47"/>
      <c r="L29" s="46" t="s">
        <v>204</v>
      </c>
      <c r="M29" s="46" t="s">
        <v>14</v>
      </c>
      <c r="N29" s="49"/>
      <c r="O29" s="49"/>
      <c r="P29" s="49"/>
      <c r="R29" s="162" t="s">
        <v>136</v>
      </c>
      <c r="S29" s="162" t="s">
        <v>136</v>
      </c>
      <c r="T29" s="159"/>
      <c r="V29" s="57" t="s">
        <v>344</v>
      </c>
      <c r="W29" s="57" t="s">
        <v>344</v>
      </c>
      <c r="X29" s="87" t="s">
        <v>469</v>
      </c>
      <c r="Y29" s="57" t="s">
        <v>344</v>
      </c>
      <c r="Z29" s="49"/>
    </row>
    <row r="30" spans="2:27">
      <c r="B30" s="46" t="s">
        <v>456</v>
      </c>
      <c r="C30" s="46" t="s">
        <v>457</v>
      </c>
      <c r="D30" s="135" t="s">
        <v>13</v>
      </c>
      <c r="E30" s="47" t="s">
        <v>505</v>
      </c>
      <c r="F30" s="47"/>
      <c r="G30" s="46"/>
      <c r="H30" s="46"/>
      <c r="I30" s="47"/>
      <c r="J30" s="47"/>
      <c r="K30" s="47"/>
      <c r="L30" s="46" t="s">
        <v>204</v>
      </c>
      <c r="M30" s="46"/>
      <c r="N30" s="49"/>
      <c r="O30" s="48"/>
      <c r="P30" s="49"/>
      <c r="R30" s="162" t="s">
        <v>136</v>
      </c>
      <c r="S30" s="162" t="s">
        <v>136</v>
      </c>
      <c r="T30" s="159"/>
      <c r="V30" s="57" t="s">
        <v>1394</v>
      </c>
      <c r="W30" s="57" t="s">
        <v>1394</v>
      </c>
      <c r="X30" s="57" t="s">
        <v>1394</v>
      </c>
      <c r="Y30" s="57" t="s">
        <v>1394</v>
      </c>
      <c r="Z30" s="49"/>
    </row>
    <row r="31" spans="2:27">
      <c r="B31" s="46" t="s">
        <v>458</v>
      </c>
      <c r="C31" s="46" t="s">
        <v>459</v>
      </c>
      <c r="D31" s="135" t="s">
        <v>13</v>
      </c>
      <c r="E31" s="47" t="s">
        <v>505</v>
      </c>
      <c r="F31" s="47"/>
      <c r="G31" s="46"/>
      <c r="H31" s="46"/>
      <c r="I31" s="47"/>
      <c r="J31" s="47"/>
      <c r="K31" s="47"/>
      <c r="L31" s="46" t="s">
        <v>204</v>
      </c>
      <c r="M31" s="46"/>
      <c r="N31" s="49"/>
      <c r="O31" s="48"/>
      <c r="P31" s="49"/>
      <c r="R31" s="162" t="s">
        <v>136</v>
      </c>
      <c r="S31" s="162" t="s">
        <v>136</v>
      </c>
      <c r="T31" s="159"/>
      <c r="V31" s="57" t="s">
        <v>1394</v>
      </c>
      <c r="W31" s="57" t="s">
        <v>1394</v>
      </c>
      <c r="X31" s="57" t="s">
        <v>1394</v>
      </c>
      <c r="Y31" s="57" t="s">
        <v>1394</v>
      </c>
      <c r="Z31" s="49"/>
    </row>
    <row r="32" spans="2:27">
      <c r="B32" s="46" t="s">
        <v>460</v>
      </c>
      <c r="C32" s="46" t="s">
        <v>461</v>
      </c>
      <c r="D32" s="135" t="s">
        <v>13</v>
      </c>
      <c r="E32" s="47" t="s">
        <v>505</v>
      </c>
      <c r="F32" s="47"/>
      <c r="G32" s="46"/>
      <c r="H32" s="46"/>
      <c r="I32" s="47"/>
      <c r="J32" s="47"/>
      <c r="K32" s="47"/>
      <c r="L32" s="46" t="s">
        <v>204</v>
      </c>
      <c r="M32" s="46"/>
      <c r="N32" s="49"/>
      <c r="O32" s="48"/>
      <c r="P32" s="49"/>
      <c r="R32" s="162" t="s">
        <v>136</v>
      </c>
      <c r="S32" s="162" t="s">
        <v>136</v>
      </c>
      <c r="T32" s="159"/>
      <c r="V32" s="57" t="s">
        <v>1394</v>
      </c>
      <c r="W32" s="57" t="s">
        <v>1394</v>
      </c>
      <c r="X32" s="57" t="s">
        <v>1394</v>
      </c>
      <c r="Y32" s="57" t="s">
        <v>1394</v>
      </c>
      <c r="Z32" s="49"/>
    </row>
    <row r="33" spans="2:27">
      <c r="B33" s="46" t="s">
        <v>462</v>
      </c>
      <c r="C33" s="46" t="s">
        <v>463</v>
      </c>
      <c r="D33" s="135" t="s">
        <v>13</v>
      </c>
      <c r="E33" s="47" t="s">
        <v>505</v>
      </c>
      <c r="F33" s="47"/>
      <c r="G33" s="46"/>
      <c r="H33" s="46"/>
      <c r="I33" s="47"/>
      <c r="J33" s="47"/>
      <c r="K33" s="47"/>
      <c r="L33" s="46" t="s">
        <v>204</v>
      </c>
      <c r="M33" s="46"/>
      <c r="N33" s="49"/>
      <c r="O33" s="48"/>
      <c r="P33" s="49"/>
      <c r="R33" s="162" t="s">
        <v>136</v>
      </c>
      <c r="S33" s="162" t="s">
        <v>136</v>
      </c>
      <c r="T33" s="159"/>
      <c r="V33" s="57" t="s">
        <v>1394</v>
      </c>
      <c r="W33" s="57" t="s">
        <v>1394</v>
      </c>
      <c r="X33" s="57" t="s">
        <v>1394</v>
      </c>
      <c r="Y33" s="57" t="s">
        <v>1394</v>
      </c>
      <c r="Z33" s="49"/>
    </row>
    <row r="34" spans="2:27" s="92" customFormat="1" ht="25.2">
      <c r="B34" s="46" t="s">
        <v>1313</v>
      </c>
      <c r="C34" s="46" t="s">
        <v>1314</v>
      </c>
      <c r="D34" s="46" t="s">
        <v>47</v>
      </c>
      <c r="E34" s="47">
        <v>10</v>
      </c>
      <c r="F34" s="47"/>
      <c r="G34" s="46"/>
      <c r="H34" s="46"/>
      <c r="I34" s="47"/>
      <c r="J34" s="47"/>
      <c r="K34" s="47"/>
      <c r="L34" s="46" t="s">
        <v>1322</v>
      </c>
      <c r="M34" s="46"/>
      <c r="N34" s="49"/>
      <c r="O34" s="48" t="s">
        <v>1321</v>
      </c>
      <c r="P34" s="86" t="s">
        <v>1407</v>
      </c>
      <c r="Q34" s="93"/>
      <c r="R34" s="162" t="s">
        <v>136</v>
      </c>
      <c r="S34" s="162" t="s">
        <v>136</v>
      </c>
      <c r="T34" s="159"/>
      <c r="U34" s="93"/>
      <c r="V34" s="270" t="s">
        <v>1313</v>
      </c>
      <c r="W34" s="271"/>
      <c r="X34" s="271"/>
      <c r="Y34" s="272"/>
      <c r="Z34" s="49"/>
    </row>
    <row r="35" spans="2:27" s="92" customFormat="1" ht="25.2">
      <c r="B35" s="85" t="s">
        <v>1835</v>
      </c>
      <c r="C35" s="85" t="s">
        <v>1836</v>
      </c>
      <c r="D35" s="85" t="s">
        <v>47</v>
      </c>
      <c r="E35" s="84">
        <v>10</v>
      </c>
      <c r="F35" s="84"/>
      <c r="G35" s="85"/>
      <c r="H35" s="85"/>
      <c r="I35" s="84"/>
      <c r="J35" s="84"/>
      <c r="K35" s="84"/>
      <c r="L35" s="85" t="s">
        <v>1837</v>
      </c>
      <c r="M35" s="85"/>
      <c r="N35" s="87"/>
      <c r="O35" s="86" t="s">
        <v>1838</v>
      </c>
      <c r="P35" s="86"/>
      <c r="Q35" s="93"/>
      <c r="R35" s="162" t="s">
        <v>136</v>
      </c>
      <c r="S35" s="162" t="s">
        <v>136</v>
      </c>
      <c r="T35" s="159"/>
      <c r="U35" s="93"/>
      <c r="V35" s="270" t="s">
        <v>1835</v>
      </c>
      <c r="W35" s="271"/>
      <c r="X35" s="271"/>
      <c r="Y35" s="57" t="s">
        <v>344</v>
      </c>
      <c r="Z35" s="49"/>
    </row>
    <row r="36" spans="2:27" s="114" customFormat="1" ht="12.6">
      <c r="B36" s="122" t="s">
        <v>1377</v>
      </c>
      <c r="C36" s="122" t="s">
        <v>1503</v>
      </c>
      <c r="D36" s="85" t="s">
        <v>17</v>
      </c>
      <c r="E36" s="84">
        <v>8</v>
      </c>
      <c r="F36" s="150"/>
      <c r="G36" s="85" t="s">
        <v>134</v>
      </c>
      <c r="H36" s="122"/>
      <c r="I36" s="150"/>
      <c r="J36" s="150"/>
      <c r="K36" s="150"/>
      <c r="L36" s="122"/>
      <c r="M36" s="122"/>
      <c r="N36" s="151" t="s">
        <v>355</v>
      </c>
      <c r="O36" s="118"/>
      <c r="P36" s="117"/>
      <c r="Q36" s="119"/>
      <c r="R36" s="162" t="s">
        <v>136</v>
      </c>
      <c r="S36" s="162" t="s">
        <v>136</v>
      </c>
      <c r="T36" s="159"/>
      <c r="U36" s="119"/>
      <c r="V36" s="251" t="s">
        <v>1378</v>
      </c>
      <c r="W36" s="252"/>
      <c r="X36" s="252"/>
      <c r="Y36" s="253"/>
      <c r="Z36" s="185"/>
      <c r="AA36" s="92"/>
    </row>
    <row r="37" spans="2:27" s="114" customFormat="1" ht="12.6">
      <c r="B37" s="122" t="s">
        <v>309</v>
      </c>
      <c r="C37" s="122" t="s">
        <v>1504</v>
      </c>
      <c r="D37" s="152" t="s">
        <v>13</v>
      </c>
      <c r="E37" s="84">
        <v>40</v>
      </c>
      <c r="F37" s="150"/>
      <c r="G37" s="122"/>
      <c r="H37" s="122"/>
      <c r="I37" s="150"/>
      <c r="J37" s="150"/>
      <c r="K37" s="150"/>
      <c r="L37" s="85" t="s">
        <v>211</v>
      </c>
      <c r="M37" s="122"/>
      <c r="N37" s="151" t="s">
        <v>354</v>
      </c>
      <c r="O37" s="118"/>
      <c r="P37" s="117"/>
      <c r="Q37" s="119"/>
      <c r="R37" s="162" t="s">
        <v>136</v>
      </c>
      <c r="S37" s="162" t="s">
        <v>136</v>
      </c>
      <c r="T37" s="159"/>
      <c r="U37" s="119"/>
      <c r="V37" s="251" t="s">
        <v>1379</v>
      </c>
      <c r="W37" s="252"/>
      <c r="X37" s="252"/>
      <c r="Y37" s="253"/>
      <c r="Z37" s="185"/>
      <c r="AA37" s="92"/>
    </row>
    <row r="38" spans="2:27">
      <c r="B38" s="46" t="s">
        <v>287</v>
      </c>
      <c r="C38" s="46" t="s">
        <v>16</v>
      </c>
      <c r="D38" s="46" t="s">
        <v>17</v>
      </c>
      <c r="E38" s="47">
        <v>8</v>
      </c>
      <c r="F38" s="47"/>
      <c r="G38" s="46" t="s">
        <v>134</v>
      </c>
      <c r="H38" s="46"/>
      <c r="I38" s="47"/>
      <c r="J38" s="47"/>
      <c r="K38" s="47"/>
      <c r="L38" s="46" t="s">
        <v>204</v>
      </c>
      <c r="M38" s="46" t="s">
        <v>14</v>
      </c>
      <c r="N38" s="49"/>
      <c r="O38" s="49"/>
      <c r="P38" s="49"/>
      <c r="R38" s="162" t="s">
        <v>136</v>
      </c>
      <c r="S38" s="162" t="s">
        <v>136</v>
      </c>
      <c r="T38" s="159"/>
      <c r="V38" s="85" t="s">
        <v>287</v>
      </c>
      <c r="W38" s="85" t="s">
        <v>287</v>
      </c>
      <c r="X38" s="85" t="s">
        <v>287</v>
      </c>
      <c r="Y38" s="85" t="s">
        <v>287</v>
      </c>
      <c r="Z38" s="49"/>
      <c r="AA38" s="92"/>
    </row>
    <row r="39" spans="2:27">
      <c r="B39" s="46" t="s">
        <v>288</v>
      </c>
      <c r="C39" s="46" t="s">
        <v>18</v>
      </c>
      <c r="D39" s="46" t="s">
        <v>17</v>
      </c>
      <c r="E39" s="47">
        <v>8</v>
      </c>
      <c r="F39" s="47"/>
      <c r="G39" s="46" t="s">
        <v>134</v>
      </c>
      <c r="H39" s="46"/>
      <c r="I39" s="47"/>
      <c r="J39" s="47"/>
      <c r="K39" s="47"/>
      <c r="L39" s="46" t="s">
        <v>204</v>
      </c>
      <c r="M39" s="46" t="s">
        <v>14</v>
      </c>
      <c r="N39" s="49"/>
      <c r="O39" s="48"/>
      <c r="P39" s="49"/>
      <c r="R39" s="162" t="s">
        <v>136</v>
      </c>
      <c r="S39" s="162" t="s">
        <v>136</v>
      </c>
      <c r="T39" s="159"/>
      <c r="V39" s="85" t="s">
        <v>288</v>
      </c>
      <c r="W39" s="85" t="s">
        <v>288</v>
      </c>
      <c r="X39" s="85" t="s">
        <v>288</v>
      </c>
      <c r="Y39" s="85" t="s">
        <v>288</v>
      </c>
      <c r="Z39" s="49"/>
      <c r="AA39" s="92"/>
    </row>
    <row r="40" spans="2:27">
      <c r="B40" s="46" t="s">
        <v>19</v>
      </c>
      <c r="C40" s="46" t="s">
        <v>20</v>
      </c>
      <c r="D40" s="135" t="s">
        <v>13</v>
      </c>
      <c r="E40" s="47">
        <v>40</v>
      </c>
      <c r="F40" s="47"/>
      <c r="G40" s="46"/>
      <c r="H40" s="46"/>
      <c r="I40" s="47"/>
      <c r="J40" s="47"/>
      <c r="K40" s="47"/>
      <c r="L40" s="46" t="s">
        <v>211</v>
      </c>
      <c r="M40" s="46" t="s">
        <v>14</v>
      </c>
      <c r="N40" s="48"/>
      <c r="O40" s="49"/>
      <c r="P40" s="49"/>
      <c r="R40" s="162" t="s">
        <v>136</v>
      </c>
      <c r="S40" s="162" t="s">
        <v>136</v>
      </c>
      <c r="T40" s="159"/>
      <c r="V40" s="85" t="s">
        <v>19</v>
      </c>
      <c r="W40" s="85" t="s">
        <v>19</v>
      </c>
      <c r="X40" s="85" t="s">
        <v>19</v>
      </c>
      <c r="Y40" s="85" t="s">
        <v>19</v>
      </c>
      <c r="Z40" s="49"/>
    </row>
    <row r="41" spans="2:27">
      <c r="B41" s="46" t="s">
        <v>21</v>
      </c>
      <c r="C41" s="46" t="s">
        <v>22</v>
      </c>
      <c r="D41" s="135" t="s">
        <v>13</v>
      </c>
      <c r="E41" s="47">
        <v>40</v>
      </c>
      <c r="F41" s="47"/>
      <c r="G41" s="46"/>
      <c r="H41" s="46"/>
      <c r="I41" s="47"/>
      <c r="J41" s="47"/>
      <c r="K41" s="47"/>
      <c r="L41" s="46" t="s">
        <v>211</v>
      </c>
      <c r="M41" s="46" t="s">
        <v>14</v>
      </c>
      <c r="N41" s="48"/>
      <c r="O41" s="49"/>
      <c r="P41" s="49"/>
      <c r="R41" s="162" t="s">
        <v>136</v>
      </c>
      <c r="S41" s="162" t="s">
        <v>136</v>
      </c>
      <c r="T41" s="159"/>
      <c r="V41" s="85" t="s">
        <v>21</v>
      </c>
      <c r="W41" s="85" t="s">
        <v>21</v>
      </c>
      <c r="X41" s="85" t="s">
        <v>21</v>
      </c>
      <c r="Y41" s="85" t="s">
        <v>21</v>
      </c>
      <c r="Z41" s="49"/>
    </row>
    <row r="42" spans="2:27">
      <c r="B42" s="46" t="s">
        <v>45</v>
      </c>
      <c r="C42" s="46" t="s">
        <v>46</v>
      </c>
      <c r="D42" s="46" t="s">
        <v>13</v>
      </c>
      <c r="E42" s="47">
        <v>10</v>
      </c>
      <c r="F42" s="47"/>
      <c r="G42" s="46"/>
      <c r="H42" s="46"/>
      <c r="I42" s="47"/>
      <c r="J42" s="47"/>
      <c r="K42" s="47"/>
      <c r="L42" s="46" t="s">
        <v>290</v>
      </c>
      <c r="M42" s="46" t="s">
        <v>14</v>
      </c>
      <c r="N42" s="49"/>
      <c r="O42" s="49" t="s">
        <v>475</v>
      </c>
      <c r="P42" s="49"/>
      <c r="R42" s="162" t="s">
        <v>136</v>
      </c>
      <c r="S42" s="162" t="s">
        <v>136</v>
      </c>
      <c r="T42" s="159"/>
      <c r="V42" s="87" t="s">
        <v>1395</v>
      </c>
      <c r="W42" s="87" t="s">
        <v>1395</v>
      </c>
      <c r="X42" s="87" t="s">
        <v>1395</v>
      </c>
      <c r="Y42" s="87" t="s">
        <v>1395</v>
      </c>
      <c r="Z42" s="49"/>
    </row>
    <row r="43" spans="2:27">
      <c r="B43" s="46"/>
      <c r="C43" s="46"/>
      <c r="D43" s="46"/>
      <c r="E43" s="47"/>
      <c r="F43" s="47"/>
      <c r="G43" s="46"/>
      <c r="H43" s="46"/>
      <c r="I43" s="47"/>
      <c r="J43" s="47"/>
      <c r="K43" s="47"/>
      <c r="L43" s="46"/>
      <c r="M43" s="46"/>
      <c r="N43" s="49"/>
      <c r="O43" s="48"/>
      <c r="P43" s="49"/>
      <c r="R43" s="162" t="s">
        <v>136</v>
      </c>
      <c r="S43" s="162" t="s">
        <v>136</v>
      </c>
      <c r="T43" s="159"/>
      <c r="V43" s="49"/>
      <c r="W43" s="49"/>
      <c r="X43" s="49"/>
      <c r="Y43" s="49"/>
      <c r="Z43" s="49"/>
    </row>
    <row r="44" spans="2:27">
      <c r="R44" s="165"/>
      <c r="S44" s="165"/>
      <c r="T44" s="93"/>
    </row>
    <row r="45" spans="2:27">
      <c r="R45" s="165"/>
      <c r="S45" s="165"/>
      <c r="T45" s="93"/>
    </row>
    <row r="46" spans="2:27">
      <c r="R46" s="165"/>
      <c r="S46" s="165"/>
      <c r="T46" s="93"/>
    </row>
    <row r="47" spans="2:27">
      <c r="R47" s="165"/>
      <c r="S47" s="165"/>
      <c r="T47" s="93"/>
    </row>
    <row r="48" spans="2:27">
      <c r="R48" s="165"/>
      <c r="S48" s="165"/>
      <c r="T48" s="93"/>
    </row>
    <row r="49" spans="18:20">
      <c r="R49" s="165"/>
      <c r="S49" s="165"/>
      <c r="T49" s="93"/>
    </row>
    <row r="50" spans="18:20">
      <c r="R50" s="165"/>
      <c r="S50" s="165"/>
      <c r="T50" s="93"/>
    </row>
    <row r="51" spans="18:20">
      <c r="R51" s="165"/>
      <c r="S51" s="165"/>
      <c r="T51" s="93"/>
    </row>
    <row r="52" spans="18:20">
      <c r="R52" s="165"/>
      <c r="S52" s="165"/>
      <c r="T52" s="93"/>
    </row>
    <row r="53" spans="18:20">
      <c r="R53" s="165"/>
      <c r="S53" s="165"/>
      <c r="T53" s="93"/>
    </row>
    <row r="54" spans="18:20">
      <c r="R54" s="165"/>
      <c r="S54" s="165"/>
      <c r="T54" s="93"/>
    </row>
    <row r="55" spans="18:20">
      <c r="R55" s="165"/>
      <c r="S55" s="165"/>
      <c r="T55" s="93"/>
    </row>
    <row r="56" spans="18:20">
      <c r="R56" s="165"/>
      <c r="S56" s="165"/>
      <c r="T56" s="93"/>
    </row>
    <row r="57" spans="18:20">
      <c r="R57" s="165"/>
      <c r="S57" s="165"/>
      <c r="T57" s="93"/>
    </row>
    <row r="58" spans="18:20">
      <c r="R58" s="165"/>
      <c r="S58" s="165"/>
      <c r="T58" s="93"/>
    </row>
    <row r="59" spans="18:20">
      <c r="R59" s="165"/>
      <c r="S59" s="165"/>
      <c r="T59" s="93"/>
    </row>
    <row r="60" spans="18:20">
      <c r="R60" s="165"/>
      <c r="S60" s="165"/>
      <c r="T60" s="93"/>
    </row>
    <row r="61" spans="18:20">
      <c r="R61" s="165"/>
      <c r="S61" s="165"/>
      <c r="T61" s="93"/>
    </row>
    <row r="62" spans="18:20">
      <c r="R62" s="165"/>
      <c r="S62" s="165"/>
      <c r="T62" s="93"/>
    </row>
    <row r="63" spans="18:20">
      <c r="R63" s="165"/>
      <c r="S63" s="165"/>
      <c r="T63" s="93"/>
    </row>
    <row r="64" spans="18:20">
      <c r="R64" s="165"/>
      <c r="S64" s="165"/>
      <c r="T64" s="93"/>
    </row>
    <row r="65" spans="18:20">
      <c r="R65" s="165"/>
      <c r="S65" s="165"/>
      <c r="T65" s="93"/>
    </row>
    <row r="66" spans="18:20">
      <c r="R66" s="165"/>
      <c r="S66" s="165"/>
      <c r="T66" s="93"/>
    </row>
    <row r="67" spans="18:20">
      <c r="R67" s="165"/>
      <c r="S67" s="165"/>
      <c r="T67" s="93"/>
    </row>
    <row r="68" spans="18:20">
      <c r="R68" s="165"/>
      <c r="S68" s="165"/>
      <c r="T68" s="93"/>
    </row>
    <row r="69" spans="18:20">
      <c r="R69" s="165"/>
      <c r="S69" s="165"/>
      <c r="T69" s="93"/>
    </row>
    <row r="70" spans="18:20">
      <c r="R70" s="165"/>
      <c r="S70" s="165"/>
      <c r="T70" s="93"/>
    </row>
    <row r="71" spans="18:20">
      <c r="R71" s="165"/>
      <c r="S71" s="165"/>
      <c r="T71" s="93"/>
    </row>
    <row r="72" spans="18:20">
      <c r="R72" s="165"/>
      <c r="S72" s="165"/>
      <c r="T72" s="93"/>
    </row>
    <row r="73" spans="18:20">
      <c r="R73" s="165"/>
      <c r="S73" s="165"/>
      <c r="T73" s="93"/>
    </row>
    <row r="74" spans="18:20">
      <c r="R74" s="165"/>
      <c r="S74" s="165"/>
      <c r="T74" s="93"/>
    </row>
    <row r="75" spans="18:20">
      <c r="R75" s="165"/>
      <c r="S75" s="165"/>
      <c r="T75" s="93"/>
    </row>
    <row r="76" spans="18:20">
      <c r="R76" s="165"/>
      <c r="S76" s="165"/>
      <c r="T76" s="93"/>
    </row>
    <row r="77" spans="18:20">
      <c r="R77" s="165"/>
      <c r="S77" s="165"/>
      <c r="T77" s="93"/>
    </row>
    <row r="78" spans="18:20">
      <c r="R78" s="165"/>
      <c r="S78" s="165"/>
      <c r="T78" s="93"/>
    </row>
    <row r="79" spans="18:20">
      <c r="R79" s="165"/>
      <c r="S79" s="165"/>
      <c r="T79" s="93"/>
    </row>
    <row r="80" spans="18:20">
      <c r="R80" s="165"/>
      <c r="S80" s="165"/>
      <c r="T80" s="93"/>
    </row>
    <row r="81" spans="18:20">
      <c r="R81" s="165"/>
      <c r="S81" s="165"/>
      <c r="T81" s="93"/>
    </row>
    <row r="82" spans="18:20">
      <c r="R82" s="165"/>
      <c r="S82" s="165"/>
      <c r="T82" s="93"/>
    </row>
    <row r="83" spans="18:20">
      <c r="R83" s="165"/>
      <c r="S83" s="165"/>
      <c r="T83" s="93"/>
    </row>
    <row r="84" spans="18:20">
      <c r="R84" s="165"/>
      <c r="S84" s="165"/>
      <c r="T84" s="93"/>
    </row>
    <row r="85" spans="18:20">
      <c r="R85" s="165"/>
      <c r="S85" s="165"/>
      <c r="T85" s="93"/>
    </row>
    <row r="86" spans="18:20">
      <c r="R86" s="165"/>
      <c r="S86" s="165"/>
      <c r="T86" s="93"/>
    </row>
    <row r="87" spans="18:20">
      <c r="R87" s="165"/>
      <c r="S87" s="165"/>
      <c r="T87" s="93"/>
    </row>
    <row r="88" spans="18:20">
      <c r="R88" s="165"/>
      <c r="S88" s="165"/>
      <c r="T88" s="93"/>
    </row>
    <row r="89" spans="18:20">
      <c r="R89" s="166"/>
      <c r="S89" s="166"/>
      <c r="T89" s="147"/>
    </row>
    <row r="90" spans="18:20">
      <c r="R90" s="166"/>
      <c r="S90" s="166"/>
      <c r="T90" s="147"/>
    </row>
    <row r="91" spans="18:20">
      <c r="R91" s="166"/>
      <c r="S91" s="166"/>
      <c r="T91" s="147"/>
    </row>
    <row r="92" spans="18:20">
      <c r="R92" s="166"/>
      <c r="S92" s="166"/>
      <c r="T92" s="147"/>
    </row>
    <row r="93" spans="18:20">
      <c r="R93" s="166"/>
      <c r="S93" s="166"/>
      <c r="T93" s="147"/>
    </row>
    <row r="94" spans="18:20">
      <c r="R94" s="166"/>
      <c r="S94" s="166"/>
      <c r="T94" s="147"/>
    </row>
    <row r="95" spans="18:20">
      <c r="R95" s="167"/>
      <c r="S95" s="167"/>
      <c r="T95" s="119"/>
    </row>
    <row r="96" spans="18:20">
      <c r="R96" s="167"/>
      <c r="S96" s="167"/>
      <c r="T96" s="119"/>
    </row>
    <row r="97" spans="18:20">
      <c r="R97" s="167"/>
      <c r="S97" s="165"/>
      <c r="T97" s="93"/>
    </row>
    <row r="98" spans="18:20">
      <c r="R98" s="167"/>
      <c r="S98" s="165"/>
      <c r="T98" s="93"/>
    </row>
    <row r="99" spans="18:20">
      <c r="R99" s="167"/>
      <c r="S99" s="165"/>
      <c r="T99" s="93"/>
    </row>
    <row r="100" spans="18:20">
      <c r="R100" s="167"/>
      <c r="S100" s="165"/>
      <c r="T100" s="93"/>
    </row>
    <row r="101" spans="18:20">
      <c r="R101" s="165"/>
      <c r="S101" s="165"/>
      <c r="T101" s="93"/>
    </row>
    <row r="102" spans="18:20">
      <c r="R102" s="165"/>
      <c r="S102" s="165"/>
      <c r="T102" s="93"/>
    </row>
    <row r="103" spans="18:20">
      <c r="R103" s="50"/>
      <c r="S103" s="50"/>
      <c r="T103" s="50"/>
    </row>
    <row r="104" spans="18:20">
      <c r="R104" s="50"/>
      <c r="S104" s="50"/>
      <c r="T104" s="50"/>
    </row>
    <row r="105" spans="18:20">
      <c r="R105" s="50"/>
      <c r="S105" s="50"/>
      <c r="T105" s="50"/>
    </row>
  </sheetData>
  <mergeCells count="8">
    <mergeCell ref="V36:Y36"/>
    <mergeCell ref="V37:Y37"/>
    <mergeCell ref="D5:F5"/>
    <mergeCell ref="H5:P5"/>
    <mergeCell ref="D6:F6"/>
    <mergeCell ref="H6:P6"/>
    <mergeCell ref="V34:Y34"/>
    <mergeCell ref="V35:X35"/>
  </mergeCells>
  <phoneticPr fontId="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102FF-0E5F-4C2E-8292-61F3ED5E62C4}">
  <sheetPr>
    <tabColor theme="7" tint="0.79998168889431442"/>
  </sheetPr>
  <dimension ref="A2:AB23"/>
  <sheetViews>
    <sheetView showGridLines="0" workbookViewId="0">
      <selection activeCell="G16" sqref="G16"/>
    </sheetView>
  </sheetViews>
  <sheetFormatPr defaultRowHeight="15"/>
  <cols>
    <col min="1" max="1" width="2.54296875" customWidth="1"/>
    <col min="2" max="3" width="22.81640625" customWidth="1"/>
    <col min="4" max="4" width="7.1796875" bestFit="1" customWidth="1"/>
    <col min="5" max="5" width="5.1796875" customWidth="1"/>
    <col min="6" max="6" width="4.453125" customWidth="1"/>
    <col min="7" max="7" width="15.36328125" customWidth="1"/>
    <col min="8" max="8" width="4.453125" customWidth="1"/>
    <col min="9" max="9" width="3.08984375" bestFit="1" customWidth="1"/>
    <col min="10" max="10" width="3.1796875" bestFit="1" customWidth="1"/>
    <col min="11" max="11" width="3" bestFit="1" customWidth="1"/>
    <col min="12" max="12" width="12" bestFit="1" customWidth="1"/>
    <col min="13" max="13" width="30.453125" customWidth="1"/>
    <col min="14" max="14" width="27.36328125" customWidth="1"/>
    <col min="15" max="15" width="33.36328125" customWidth="1"/>
    <col min="16" max="16" width="2.36328125" customWidth="1"/>
    <col min="17" max="18" width="6.54296875" customWidth="1"/>
    <col min="19" max="19" width="15.1796875" customWidth="1"/>
    <col min="21" max="25" width="20.6328125" customWidth="1"/>
  </cols>
  <sheetData>
    <row r="2" spans="1:28">
      <c r="A2" s="6"/>
      <c r="B2" s="7" t="s">
        <v>38</v>
      </c>
      <c r="C2" s="6"/>
      <c r="D2" s="6"/>
      <c r="E2" s="6"/>
      <c r="F2" s="6"/>
      <c r="G2" s="6"/>
      <c r="H2" s="6"/>
      <c r="I2" s="6"/>
      <c r="J2" s="6"/>
      <c r="K2" s="6"/>
      <c r="L2" s="6"/>
      <c r="M2" s="6"/>
      <c r="N2" s="6"/>
      <c r="O2" s="6"/>
      <c r="P2" s="6"/>
      <c r="Q2" s="6"/>
      <c r="R2" s="6"/>
      <c r="S2" s="6"/>
      <c r="T2" s="6"/>
      <c r="U2" s="6"/>
      <c r="V2" s="6"/>
      <c r="W2" s="6"/>
      <c r="X2" s="6"/>
      <c r="Y2" s="6"/>
      <c r="Z2" s="6"/>
      <c r="AA2" s="6"/>
      <c r="AB2" s="6"/>
    </row>
    <row r="3" spans="1:28" ht="7.5" customHeight="1">
      <c r="A3" s="1"/>
      <c r="B3" s="1"/>
      <c r="C3" s="1"/>
      <c r="D3" s="1"/>
      <c r="E3" s="1"/>
      <c r="F3" s="1"/>
      <c r="G3" s="1"/>
      <c r="H3" s="1"/>
      <c r="I3" s="1"/>
      <c r="J3" s="1"/>
      <c r="K3" s="1"/>
      <c r="L3" s="1"/>
      <c r="M3" s="1"/>
      <c r="N3" s="1"/>
      <c r="O3" s="1"/>
      <c r="P3" s="1"/>
      <c r="Q3" s="1"/>
      <c r="R3" s="1"/>
      <c r="S3" s="1"/>
      <c r="T3" s="1"/>
      <c r="U3" s="1"/>
      <c r="V3" s="1"/>
      <c r="W3" s="1"/>
      <c r="X3" s="1"/>
      <c r="Y3" s="1"/>
      <c r="Z3" s="1"/>
      <c r="AA3" s="1"/>
      <c r="AB3" s="1"/>
    </row>
    <row r="5" spans="1:28">
      <c r="B5" s="8" t="s">
        <v>30</v>
      </c>
      <c r="C5" s="8" t="s">
        <v>31</v>
      </c>
      <c r="D5" s="234" t="s">
        <v>37</v>
      </c>
      <c r="E5" s="235"/>
      <c r="F5" s="236"/>
      <c r="G5" s="8" t="s">
        <v>74</v>
      </c>
      <c r="H5" s="234" t="s">
        <v>85</v>
      </c>
      <c r="I5" s="235"/>
      <c r="J5" s="235"/>
      <c r="K5" s="235"/>
      <c r="L5" s="235"/>
      <c r="M5" s="235"/>
      <c r="N5" s="235"/>
      <c r="O5" s="236"/>
      <c r="Q5" t="s">
        <v>1859</v>
      </c>
    </row>
    <row r="6" spans="1:28">
      <c r="B6" s="217" t="s">
        <v>1910</v>
      </c>
      <c r="C6" s="217" t="s">
        <v>1909</v>
      </c>
      <c r="D6" s="248" t="s">
        <v>94</v>
      </c>
      <c r="E6" s="249"/>
      <c r="F6" s="250"/>
      <c r="G6" s="47" t="s">
        <v>75</v>
      </c>
      <c r="H6" s="273"/>
      <c r="I6" s="274"/>
      <c r="J6" s="274"/>
      <c r="K6" s="274"/>
      <c r="L6" s="274"/>
      <c r="M6" s="274"/>
      <c r="N6" s="274"/>
      <c r="O6" s="275"/>
      <c r="Q6" t="s">
        <v>1862</v>
      </c>
      <c r="U6" t="s">
        <v>108</v>
      </c>
    </row>
    <row r="7" spans="1:28">
      <c r="B7" s="92"/>
      <c r="C7" s="92"/>
      <c r="D7" s="92"/>
      <c r="E7" s="92"/>
      <c r="F7" s="92"/>
      <c r="G7" s="92"/>
      <c r="H7" s="92"/>
      <c r="I7" s="92"/>
      <c r="J7" s="92"/>
      <c r="K7" s="92"/>
      <c r="L7" s="92"/>
      <c r="M7" s="92"/>
      <c r="N7" s="92"/>
      <c r="O7" s="92"/>
      <c r="Q7" t="s">
        <v>1863</v>
      </c>
    </row>
    <row r="8" spans="1:28">
      <c r="B8" s="109" t="s">
        <v>32</v>
      </c>
      <c r="C8" s="109" t="s">
        <v>33</v>
      </c>
      <c r="D8" s="109" t="s">
        <v>34</v>
      </c>
      <c r="E8" s="109" t="s">
        <v>10</v>
      </c>
      <c r="F8" s="109" t="s">
        <v>23</v>
      </c>
      <c r="G8" s="109" t="s">
        <v>24</v>
      </c>
      <c r="H8" s="109" t="s">
        <v>25</v>
      </c>
      <c r="I8" s="109" t="s">
        <v>26</v>
      </c>
      <c r="J8" s="109" t="s">
        <v>27</v>
      </c>
      <c r="K8" s="109" t="s">
        <v>28</v>
      </c>
      <c r="L8" s="109" t="s">
        <v>29</v>
      </c>
      <c r="M8" s="109" t="s">
        <v>35</v>
      </c>
      <c r="N8" s="109" t="s">
        <v>36</v>
      </c>
      <c r="O8" s="109" t="s">
        <v>12</v>
      </c>
      <c r="Q8" s="88" t="s">
        <v>1858</v>
      </c>
      <c r="R8" s="88" t="s">
        <v>1866</v>
      </c>
      <c r="S8" s="88" t="s">
        <v>155</v>
      </c>
      <c r="U8" s="8" t="s">
        <v>107</v>
      </c>
      <c r="V8" s="8" t="s">
        <v>107</v>
      </c>
      <c r="W8" s="8" t="s">
        <v>107</v>
      </c>
      <c r="X8" s="8" t="s">
        <v>107</v>
      </c>
      <c r="Y8" s="8" t="s">
        <v>107</v>
      </c>
    </row>
    <row r="9" spans="1:28" ht="25.2">
      <c r="B9" s="218" t="s">
        <v>1929</v>
      </c>
      <c r="C9" s="219" t="s">
        <v>1930</v>
      </c>
      <c r="D9" s="220" t="s">
        <v>1931</v>
      </c>
      <c r="E9" s="220"/>
      <c r="F9" s="220"/>
      <c r="G9" s="220"/>
      <c r="H9" s="220"/>
      <c r="I9" s="220" t="s">
        <v>14</v>
      </c>
      <c r="J9" s="221"/>
      <c r="K9" s="221"/>
      <c r="L9" s="221"/>
      <c r="M9" s="48" t="s">
        <v>61</v>
      </c>
      <c r="N9" s="49"/>
      <c r="O9" s="49"/>
      <c r="Q9" s="162" t="s">
        <v>136</v>
      </c>
      <c r="R9" s="162" t="s">
        <v>136</v>
      </c>
      <c r="S9" s="159"/>
      <c r="U9" s="12"/>
      <c r="V9" s="12"/>
      <c r="W9" s="12"/>
      <c r="X9" s="12"/>
      <c r="Y9" s="12"/>
    </row>
    <row r="10" spans="1:28">
      <c r="B10" s="218" t="s">
        <v>178</v>
      </c>
      <c r="C10" s="219" t="s">
        <v>42</v>
      </c>
      <c r="D10" s="220" t="s">
        <v>1932</v>
      </c>
      <c r="E10" s="220">
        <v>8</v>
      </c>
      <c r="F10" s="220"/>
      <c r="G10" s="220"/>
      <c r="H10" s="220"/>
      <c r="I10" s="220" t="s">
        <v>14</v>
      </c>
      <c r="J10" s="221"/>
      <c r="K10" s="221"/>
      <c r="L10" s="221"/>
      <c r="M10" s="49"/>
      <c r="N10" s="49"/>
      <c r="O10" s="49"/>
      <c r="Q10" s="162" t="s">
        <v>136</v>
      </c>
      <c r="R10" s="162" t="s">
        <v>136</v>
      </c>
      <c r="S10" s="159"/>
      <c r="U10" s="12"/>
      <c r="V10" s="12"/>
      <c r="W10" s="12"/>
      <c r="X10" s="12"/>
      <c r="Y10" s="12"/>
    </row>
    <row r="11" spans="1:28">
      <c r="B11" s="218" t="s">
        <v>865</v>
      </c>
      <c r="C11" s="219" t="s">
        <v>866</v>
      </c>
      <c r="D11" s="220" t="s">
        <v>1933</v>
      </c>
      <c r="E11" s="220">
        <v>50</v>
      </c>
      <c r="F11" s="220"/>
      <c r="G11" s="220"/>
      <c r="H11" s="220"/>
      <c r="I11" s="220" t="s">
        <v>14</v>
      </c>
      <c r="J11" s="221"/>
      <c r="K11" s="221"/>
      <c r="L11" s="221"/>
      <c r="M11" s="49"/>
      <c r="N11" s="48"/>
      <c r="O11" s="49"/>
      <c r="Q11" s="162" t="s">
        <v>136</v>
      </c>
      <c r="R11" s="162" t="s">
        <v>136</v>
      </c>
      <c r="S11" s="159"/>
      <c r="U11" s="12"/>
      <c r="V11" s="12"/>
      <c r="W11" s="12"/>
      <c r="X11" s="12"/>
      <c r="Y11" s="12"/>
    </row>
    <row r="12" spans="1:28" ht="37.799999999999997">
      <c r="B12" s="218" t="s">
        <v>1934</v>
      </c>
      <c r="C12" s="219" t="s">
        <v>1935</v>
      </c>
      <c r="D12" s="220" t="s">
        <v>1932</v>
      </c>
      <c r="E12" s="220">
        <v>8</v>
      </c>
      <c r="F12" s="220" t="s">
        <v>14</v>
      </c>
      <c r="G12" s="220"/>
      <c r="H12" s="220"/>
      <c r="I12" s="220"/>
      <c r="J12" s="221"/>
      <c r="K12" s="221"/>
      <c r="L12" s="221"/>
      <c r="M12" s="218" t="s">
        <v>1936</v>
      </c>
      <c r="N12" s="49"/>
      <c r="O12" s="49"/>
      <c r="Q12" s="162" t="s">
        <v>136</v>
      </c>
      <c r="R12" s="162" t="s">
        <v>136</v>
      </c>
      <c r="S12" s="159"/>
      <c r="U12" s="12"/>
      <c r="V12" s="12"/>
      <c r="W12" s="12"/>
      <c r="X12" s="12"/>
      <c r="Y12" s="12"/>
    </row>
    <row r="13" spans="1:28">
      <c r="B13" s="218" t="s">
        <v>1937</v>
      </c>
      <c r="C13" s="218" t="s">
        <v>1938</v>
      </c>
      <c r="D13" s="220" t="s">
        <v>1933</v>
      </c>
      <c r="E13" s="220">
        <v>500</v>
      </c>
      <c r="F13" s="220" t="s">
        <v>14</v>
      </c>
      <c r="G13" s="220"/>
      <c r="H13" s="220"/>
      <c r="I13" s="220"/>
      <c r="J13" s="221"/>
      <c r="K13" s="221"/>
      <c r="L13" s="221"/>
      <c r="M13" s="218"/>
      <c r="N13" s="139"/>
      <c r="O13" s="49"/>
      <c r="Q13" s="162" t="s">
        <v>136</v>
      </c>
      <c r="R13" s="162" t="s">
        <v>136</v>
      </c>
      <c r="S13" s="159"/>
      <c r="U13" s="12"/>
      <c r="V13" s="12"/>
      <c r="W13" s="12"/>
      <c r="X13" s="12"/>
      <c r="Y13" s="12"/>
    </row>
    <row r="14" spans="1:28">
      <c r="B14" s="218" t="s">
        <v>1939</v>
      </c>
      <c r="C14" s="222" t="s">
        <v>1940</v>
      </c>
      <c r="D14" s="220" t="s">
        <v>1933</v>
      </c>
      <c r="E14" s="220">
        <v>500</v>
      </c>
      <c r="F14" s="220" t="s">
        <v>14</v>
      </c>
      <c r="G14" s="220"/>
      <c r="H14" s="220"/>
      <c r="I14" s="220"/>
      <c r="J14" s="221"/>
      <c r="K14" s="221"/>
      <c r="L14" s="221"/>
      <c r="M14" s="221"/>
      <c r="N14" s="48"/>
      <c r="O14" s="48"/>
      <c r="Q14" s="162" t="s">
        <v>136</v>
      </c>
      <c r="R14" s="162" t="s">
        <v>136</v>
      </c>
      <c r="S14" s="159"/>
      <c r="U14" s="12"/>
      <c r="V14" s="12"/>
      <c r="W14" s="12"/>
      <c r="X14" s="12"/>
      <c r="Y14" s="12"/>
    </row>
    <row r="15" spans="1:28">
      <c r="B15" s="218" t="s">
        <v>1941</v>
      </c>
      <c r="C15" s="219" t="s">
        <v>1765</v>
      </c>
      <c r="D15" s="220" t="s">
        <v>1933</v>
      </c>
      <c r="E15" s="220">
        <v>500</v>
      </c>
      <c r="F15" s="220" t="s">
        <v>14</v>
      </c>
      <c r="G15" s="220"/>
      <c r="H15" s="220"/>
      <c r="I15" s="220"/>
      <c r="J15" s="221"/>
      <c r="K15" s="221"/>
      <c r="L15" s="221"/>
      <c r="M15" s="221"/>
      <c r="N15" s="49"/>
      <c r="O15" s="48"/>
      <c r="Q15" s="162" t="s">
        <v>136</v>
      </c>
      <c r="R15" s="162" t="s">
        <v>136</v>
      </c>
      <c r="S15" s="159"/>
      <c r="U15" s="12"/>
      <c r="V15" s="12"/>
      <c r="W15" s="12"/>
      <c r="X15" s="12"/>
      <c r="Y15" s="12"/>
    </row>
    <row r="16" spans="1:28" ht="63">
      <c r="B16" s="218" t="s">
        <v>1942</v>
      </c>
      <c r="C16" s="219" t="s">
        <v>1943</v>
      </c>
      <c r="D16" s="220" t="s">
        <v>1932</v>
      </c>
      <c r="E16" s="220">
        <v>8</v>
      </c>
      <c r="F16" s="220" t="s">
        <v>14</v>
      </c>
      <c r="G16" s="220"/>
      <c r="H16" s="220"/>
      <c r="I16" s="220"/>
      <c r="J16" s="221"/>
      <c r="K16" s="221"/>
      <c r="L16" s="221"/>
      <c r="M16" s="218" t="s">
        <v>1944</v>
      </c>
      <c r="N16" s="49"/>
      <c r="O16" s="48"/>
      <c r="Q16" s="162" t="s">
        <v>136</v>
      </c>
      <c r="R16" s="162" t="s">
        <v>136</v>
      </c>
      <c r="S16" s="159"/>
      <c r="U16" s="12"/>
      <c r="V16" s="12"/>
      <c r="W16" s="12"/>
      <c r="X16" s="12"/>
      <c r="Y16" s="12"/>
    </row>
    <row r="17" spans="2:25">
      <c r="B17" s="218" t="s">
        <v>1945</v>
      </c>
      <c r="C17" s="219" t="s">
        <v>1946</v>
      </c>
      <c r="D17" s="220" t="s">
        <v>1932</v>
      </c>
      <c r="E17" s="220">
        <v>8</v>
      </c>
      <c r="F17" s="220" t="s">
        <v>14</v>
      </c>
      <c r="G17" s="220"/>
      <c r="H17" s="220"/>
      <c r="I17" s="220"/>
      <c r="J17" s="221"/>
      <c r="K17" s="221"/>
      <c r="L17" s="221"/>
      <c r="M17" s="221" t="s">
        <v>1947</v>
      </c>
      <c r="N17" s="48"/>
      <c r="O17" s="49"/>
      <c r="Q17" s="162" t="s">
        <v>136</v>
      </c>
      <c r="R17" s="162" t="s">
        <v>136</v>
      </c>
      <c r="S17" s="159"/>
      <c r="U17" s="12"/>
      <c r="V17" s="12"/>
      <c r="W17" s="12"/>
      <c r="X17" s="12"/>
      <c r="Y17" s="12"/>
    </row>
    <row r="18" spans="2:25">
      <c r="B18" s="218" t="s">
        <v>1948</v>
      </c>
      <c r="C18" s="219" t="s">
        <v>1949</v>
      </c>
      <c r="D18" s="220" t="s">
        <v>1932</v>
      </c>
      <c r="E18" s="220">
        <v>8</v>
      </c>
      <c r="F18" s="220" t="s">
        <v>14</v>
      </c>
      <c r="G18" s="220"/>
      <c r="H18" s="220"/>
      <c r="I18" s="220"/>
      <c r="J18" s="221"/>
      <c r="K18" s="221"/>
      <c r="L18" s="221"/>
      <c r="M18" s="221" t="s">
        <v>1950</v>
      </c>
      <c r="N18" s="48"/>
      <c r="O18" s="49"/>
      <c r="Q18" s="162" t="s">
        <v>136</v>
      </c>
      <c r="R18" s="162" t="s">
        <v>136</v>
      </c>
      <c r="S18" s="159"/>
      <c r="U18" s="12"/>
      <c r="V18" s="12"/>
      <c r="W18" s="12"/>
      <c r="X18" s="12"/>
      <c r="Y18" s="12"/>
    </row>
    <row r="19" spans="2:25">
      <c r="B19" s="218" t="s">
        <v>1951</v>
      </c>
      <c r="C19" s="219" t="s">
        <v>16</v>
      </c>
      <c r="D19" s="220" t="s">
        <v>17</v>
      </c>
      <c r="E19" s="220">
        <v>8</v>
      </c>
      <c r="F19" s="220"/>
      <c r="G19" s="220"/>
      <c r="H19" s="220"/>
      <c r="I19" s="220"/>
      <c r="J19" s="221"/>
      <c r="K19" s="221"/>
      <c r="L19" s="221"/>
      <c r="M19" s="221"/>
      <c r="N19" s="49"/>
      <c r="O19" s="49"/>
      <c r="Q19" s="162" t="s">
        <v>136</v>
      </c>
      <c r="R19" s="162" t="s">
        <v>136</v>
      </c>
      <c r="S19" s="159"/>
      <c r="U19" s="12"/>
      <c r="V19" s="12"/>
      <c r="W19" s="12"/>
      <c r="X19" s="12"/>
      <c r="Y19" s="12"/>
    </row>
    <row r="20" spans="2:25">
      <c r="B20" s="218" t="s">
        <v>1952</v>
      </c>
      <c r="C20" s="218" t="s">
        <v>18</v>
      </c>
      <c r="D20" s="220" t="s">
        <v>1953</v>
      </c>
      <c r="E20" s="220">
        <v>8</v>
      </c>
      <c r="F20" s="220"/>
      <c r="G20" s="220"/>
      <c r="H20" s="220"/>
      <c r="I20" s="220"/>
      <c r="J20" s="221"/>
      <c r="K20" s="221"/>
      <c r="L20" s="221"/>
      <c r="M20" s="221"/>
      <c r="N20" s="49"/>
      <c r="O20" s="49"/>
      <c r="Q20" s="162" t="s">
        <v>136</v>
      </c>
      <c r="R20" s="162" t="s">
        <v>136</v>
      </c>
      <c r="S20" s="159"/>
      <c r="U20" s="12"/>
      <c r="V20" s="12"/>
      <c r="W20" s="12"/>
      <c r="X20" s="12"/>
      <c r="Y20" s="12"/>
    </row>
    <row r="21" spans="2:25">
      <c r="B21" s="218" t="s">
        <v>45</v>
      </c>
      <c r="C21" s="221" t="s">
        <v>46</v>
      </c>
      <c r="D21" s="220" t="s">
        <v>1954</v>
      </c>
      <c r="E21" s="220">
        <v>10</v>
      </c>
      <c r="F21" s="220"/>
      <c r="G21" s="220"/>
      <c r="H21" s="220"/>
      <c r="I21" s="220"/>
      <c r="J21" s="221"/>
      <c r="K21" s="221"/>
      <c r="L21" s="221"/>
      <c r="M21" s="221"/>
      <c r="N21" s="49"/>
      <c r="O21" s="49"/>
      <c r="Q21" s="162" t="s">
        <v>136</v>
      </c>
      <c r="R21" s="162" t="s">
        <v>136</v>
      </c>
      <c r="S21" s="159"/>
      <c r="U21" s="12"/>
      <c r="V21" s="12"/>
      <c r="W21" s="12"/>
      <c r="X21" s="12"/>
      <c r="Y21" s="12"/>
    </row>
    <row r="22" spans="2:25">
      <c r="B22" s="221" t="s">
        <v>19</v>
      </c>
      <c r="C22" s="221" t="s">
        <v>20</v>
      </c>
      <c r="D22" s="220" t="s">
        <v>17</v>
      </c>
      <c r="E22" s="220">
        <v>40</v>
      </c>
      <c r="F22" s="220"/>
      <c r="G22" s="220"/>
      <c r="H22" s="221"/>
      <c r="I22" s="220"/>
      <c r="J22" s="221"/>
      <c r="K22" s="221"/>
      <c r="L22" s="221"/>
      <c r="M22" s="221" t="s">
        <v>1955</v>
      </c>
      <c r="N22" s="49"/>
      <c r="O22" s="49"/>
      <c r="Q22" s="162" t="s">
        <v>136</v>
      </c>
      <c r="R22" s="162" t="s">
        <v>136</v>
      </c>
      <c r="S22" s="159"/>
      <c r="U22" s="12"/>
      <c r="V22" s="12"/>
      <c r="W22" s="12"/>
      <c r="X22" s="12"/>
      <c r="Y22" s="12"/>
    </row>
    <row r="23" spans="2:25">
      <c r="B23" s="218" t="s">
        <v>21</v>
      </c>
      <c r="C23" s="221" t="s">
        <v>22</v>
      </c>
      <c r="D23" s="220" t="s">
        <v>17</v>
      </c>
      <c r="E23" s="220">
        <v>40</v>
      </c>
      <c r="F23" s="220"/>
      <c r="G23" s="220"/>
      <c r="H23" s="221"/>
      <c r="I23" s="220"/>
      <c r="J23" s="221"/>
      <c r="K23" s="221"/>
      <c r="L23" s="221"/>
      <c r="M23" s="221" t="s">
        <v>1956</v>
      </c>
      <c r="N23" s="49"/>
      <c r="O23" s="49"/>
      <c r="Q23" s="162" t="s">
        <v>136</v>
      </c>
      <c r="R23" s="162" t="s">
        <v>136</v>
      </c>
      <c r="S23" s="159"/>
      <c r="U23" s="12"/>
      <c r="V23" s="12"/>
      <c r="W23" s="12"/>
      <c r="X23" s="12"/>
      <c r="Y23" s="12"/>
    </row>
  </sheetData>
  <mergeCells count="4">
    <mergeCell ref="D5:F5"/>
    <mergeCell ref="H5:O5"/>
    <mergeCell ref="D6:F6"/>
    <mergeCell ref="H6:O6"/>
  </mergeCells>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5A22-F9CA-40C3-A3D6-C76DD5795A85}">
  <sheetPr codeName="Sheet10">
    <tabColor theme="7" tint="0.79998168889431442"/>
  </sheetPr>
  <dimension ref="A2:AC104"/>
  <sheetViews>
    <sheetView showGridLines="0" topLeftCell="A7" zoomScaleNormal="100" workbookViewId="0">
      <selection activeCell="N15" sqref="N15"/>
    </sheetView>
  </sheetViews>
  <sheetFormatPr defaultColWidth="8.90625" defaultRowHeight="15"/>
  <cols>
    <col min="1" max="1" width="2.54296875" style="44" customWidth="1"/>
    <col min="2" max="3" width="22.81640625" style="44" customWidth="1"/>
    <col min="4" max="4" width="7.1796875" style="44" bestFit="1" customWidth="1"/>
    <col min="5" max="5" width="5.1796875" style="44" customWidth="1"/>
    <col min="6" max="6" width="4.453125" style="44" customWidth="1"/>
    <col min="7" max="7" width="15.36328125" style="44" bestFit="1" customWidth="1"/>
    <col min="8" max="8" width="4.453125" style="44" customWidth="1"/>
    <col min="9" max="9" width="3.08984375" style="44" bestFit="1" customWidth="1"/>
    <col min="10" max="10" width="3.1796875" style="44" bestFit="1" customWidth="1"/>
    <col min="11" max="11" width="3" style="44" bestFit="1" customWidth="1"/>
    <col min="12" max="12" width="12" style="44" bestFit="1" customWidth="1"/>
    <col min="13" max="13" width="4.453125" style="44" customWidth="1"/>
    <col min="14" max="14" width="31.36328125" style="44" customWidth="1"/>
    <col min="15" max="15" width="27.36328125" style="44" customWidth="1"/>
    <col min="16" max="16" width="33.36328125" style="44" customWidth="1"/>
    <col min="17" max="17" width="2.36328125" style="44" customWidth="1"/>
    <col min="18" max="19" width="6.54296875" customWidth="1"/>
    <col min="20" max="20" width="15.1796875" customWidth="1"/>
    <col min="21" max="21" width="6.54296875" style="44" customWidth="1"/>
    <col min="22" max="26" width="20.6328125" style="44" customWidth="1"/>
    <col min="27" max="16384" width="8.90625" style="44"/>
  </cols>
  <sheetData>
    <row r="2" spans="1:29">
      <c r="A2" s="89"/>
      <c r="B2" s="112" t="s">
        <v>38</v>
      </c>
      <c r="C2" s="89"/>
      <c r="D2" s="89"/>
      <c r="E2" s="89"/>
      <c r="F2" s="89"/>
      <c r="G2" s="89"/>
      <c r="H2" s="89"/>
      <c r="I2" s="89"/>
      <c r="J2" s="89"/>
      <c r="K2" s="89"/>
      <c r="L2" s="89"/>
      <c r="M2" s="89"/>
      <c r="N2" s="89"/>
      <c r="O2" s="89"/>
      <c r="P2" s="89"/>
      <c r="Q2" s="89"/>
      <c r="R2" s="6"/>
      <c r="S2" s="6"/>
      <c r="T2" s="6"/>
      <c r="U2" s="89"/>
      <c r="V2" s="89"/>
      <c r="W2" s="89"/>
      <c r="X2" s="89"/>
      <c r="Y2" s="89"/>
      <c r="Z2" s="89"/>
      <c r="AA2" s="89"/>
      <c r="AB2" s="89"/>
      <c r="AC2" s="89"/>
    </row>
    <row r="3" spans="1:29" ht="7.5" customHeight="1">
      <c r="A3" s="74"/>
      <c r="B3" s="74"/>
      <c r="C3" s="74"/>
      <c r="D3" s="74"/>
      <c r="E3" s="74"/>
      <c r="F3" s="74"/>
      <c r="G3" s="74"/>
      <c r="H3" s="74"/>
      <c r="I3" s="74"/>
      <c r="J3" s="74"/>
      <c r="K3" s="74"/>
      <c r="L3" s="74"/>
      <c r="M3" s="74"/>
      <c r="N3" s="74"/>
      <c r="O3" s="74"/>
      <c r="P3" s="74"/>
      <c r="Q3" s="74"/>
      <c r="R3" s="1"/>
      <c r="S3" s="1"/>
      <c r="T3" s="1"/>
      <c r="U3" s="74"/>
      <c r="V3" s="74"/>
      <c r="W3" s="74"/>
      <c r="X3" s="74"/>
      <c r="Y3" s="74"/>
      <c r="Z3" s="74"/>
      <c r="AA3" s="74"/>
      <c r="AB3" s="74"/>
      <c r="AC3" s="74"/>
    </row>
    <row r="5" spans="1:29">
      <c r="B5" s="17" t="s">
        <v>30</v>
      </c>
      <c r="C5" s="17" t="s">
        <v>31</v>
      </c>
      <c r="D5" s="266" t="s">
        <v>37</v>
      </c>
      <c r="E5" s="267"/>
      <c r="F5" s="268"/>
      <c r="G5" s="17" t="s">
        <v>74</v>
      </c>
      <c r="H5" s="266" t="s">
        <v>85</v>
      </c>
      <c r="I5" s="267"/>
      <c r="J5" s="267"/>
      <c r="K5" s="267"/>
      <c r="L5" s="267"/>
      <c r="M5" s="267"/>
      <c r="N5" s="267"/>
      <c r="O5" s="267"/>
      <c r="P5" s="268"/>
      <c r="R5" t="s">
        <v>1859</v>
      </c>
    </row>
    <row r="6" spans="1:29">
      <c r="B6" s="30" t="s">
        <v>479</v>
      </c>
      <c r="C6" s="30" t="s">
        <v>1844</v>
      </c>
      <c r="D6" s="237" t="s">
        <v>94</v>
      </c>
      <c r="E6" s="238"/>
      <c r="F6" s="239"/>
      <c r="G6" s="45" t="s">
        <v>75</v>
      </c>
      <c r="H6" s="240" t="s">
        <v>121</v>
      </c>
      <c r="I6" s="241"/>
      <c r="J6" s="241"/>
      <c r="K6" s="241"/>
      <c r="L6" s="241"/>
      <c r="M6" s="241"/>
      <c r="N6" s="241"/>
      <c r="O6" s="241"/>
      <c r="P6" s="242"/>
      <c r="R6" t="s">
        <v>1862</v>
      </c>
      <c r="V6" s="44" t="s">
        <v>109</v>
      </c>
    </row>
    <row r="7" spans="1:29">
      <c r="R7" t="s">
        <v>1863</v>
      </c>
    </row>
    <row r="8" spans="1:29">
      <c r="B8" s="17" t="s">
        <v>32</v>
      </c>
      <c r="C8" s="17" t="s">
        <v>33</v>
      </c>
      <c r="D8" s="17" t="s">
        <v>34</v>
      </c>
      <c r="E8" s="109" t="s">
        <v>10</v>
      </c>
      <c r="F8" s="110" t="s">
        <v>23</v>
      </c>
      <c r="G8" s="110" t="s">
        <v>24</v>
      </c>
      <c r="H8" s="110" t="s">
        <v>25</v>
      </c>
      <c r="I8" s="110" t="s">
        <v>26</v>
      </c>
      <c r="J8" s="110" t="s">
        <v>27</v>
      </c>
      <c r="K8" s="110" t="s">
        <v>28</v>
      </c>
      <c r="L8" s="110" t="s">
        <v>29</v>
      </c>
      <c r="M8" s="110" t="s">
        <v>11</v>
      </c>
      <c r="N8" s="17" t="s">
        <v>35</v>
      </c>
      <c r="O8" s="17" t="s">
        <v>36</v>
      </c>
      <c r="P8" s="17" t="s">
        <v>12</v>
      </c>
      <c r="R8" s="88" t="s">
        <v>1858</v>
      </c>
      <c r="S8" s="88" t="s">
        <v>1866</v>
      </c>
      <c r="T8" s="88" t="s">
        <v>155</v>
      </c>
      <c r="V8" s="17" t="s">
        <v>107</v>
      </c>
      <c r="W8" s="17" t="s">
        <v>107</v>
      </c>
      <c r="X8" s="17" t="s">
        <v>107</v>
      </c>
      <c r="Y8" s="17" t="s">
        <v>107</v>
      </c>
      <c r="Z8" s="17" t="s">
        <v>107</v>
      </c>
    </row>
    <row r="9" spans="1:29">
      <c r="B9" s="85" t="s">
        <v>175</v>
      </c>
      <c r="C9" s="85" t="s">
        <v>1586</v>
      </c>
      <c r="D9" s="46" t="s">
        <v>13</v>
      </c>
      <c r="E9" s="84">
        <v>40</v>
      </c>
      <c r="F9" s="84"/>
      <c r="G9" s="85"/>
      <c r="H9" s="85"/>
      <c r="I9" s="84" t="s">
        <v>14</v>
      </c>
      <c r="J9" s="84" t="s">
        <v>14</v>
      </c>
      <c r="K9" s="84"/>
      <c r="L9" s="85" t="s">
        <v>177</v>
      </c>
      <c r="M9" s="85" t="s">
        <v>14</v>
      </c>
      <c r="N9" s="86" t="s">
        <v>356</v>
      </c>
      <c r="O9" s="87" t="s">
        <v>1590</v>
      </c>
      <c r="P9" s="49" t="s">
        <v>359</v>
      </c>
      <c r="R9" s="162" t="s">
        <v>136</v>
      </c>
      <c r="S9" s="162" t="s">
        <v>136</v>
      </c>
      <c r="T9" s="159"/>
      <c r="V9" s="105"/>
      <c r="W9" s="105"/>
      <c r="X9" s="105"/>
      <c r="Y9" s="105"/>
      <c r="Z9" s="105"/>
    </row>
    <row r="10" spans="1:29">
      <c r="B10" s="46" t="s">
        <v>480</v>
      </c>
      <c r="C10" s="46" t="s">
        <v>1591</v>
      </c>
      <c r="D10" s="46" t="s">
        <v>13</v>
      </c>
      <c r="E10" s="47">
        <v>40</v>
      </c>
      <c r="F10" s="47"/>
      <c r="G10" s="46"/>
      <c r="H10" s="46"/>
      <c r="I10" s="47"/>
      <c r="J10" s="84"/>
      <c r="K10" s="47"/>
      <c r="L10" s="46" t="s">
        <v>1601</v>
      </c>
      <c r="M10" s="46" t="s">
        <v>14</v>
      </c>
      <c r="N10" s="48" t="s">
        <v>497</v>
      </c>
      <c r="O10" s="49" t="s">
        <v>498</v>
      </c>
      <c r="P10" s="49"/>
      <c r="R10" s="162" t="s">
        <v>136</v>
      </c>
      <c r="S10" s="162" t="s">
        <v>136</v>
      </c>
      <c r="T10" s="159"/>
      <c r="V10" s="49"/>
      <c r="W10" s="49"/>
      <c r="X10" s="49"/>
      <c r="Y10" s="49"/>
      <c r="Z10" s="49"/>
    </row>
    <row r="11" spans="1:29">
      <c r="B11" s="46" t="s">
        <v>178</v>
      </c>
      <c r="C11" s="46" t="s">
        <v>42</v>
      </c>
      <c r="D11" s="46" t="s">
        <v>13</v>
      </c>
      <c r="E11" s="47">
        <v>8</v>
      </c>
      <c r="F11" s="47"/>
      <c r="G11" s="46"/>
      <c r="H11" s="46"/>
      <c r="I11" s="47"/>
      <c r="J11" s="47"/>
      <c r="K11" s="47"/>
      <c r="L11" s="46" t="s">
        <v>179</v>
      </c>
      <c r="M11" s="46"/>
      <c r="N11" s="49" t="s">
        <v>464</v>
      </c>
      <c r="O11" s="49"/>
      <c r="P11" s="49"/>
      <c r="R11" s="162" t="s">
        <v>136</v>
      </c>
      <c r="S11" s="162" t="s">
        <v>136</v>
      </c>
      <c r="T11" s="159"/>
      <c r="V11" s="49"/>
      <c r="W11" s="49"/>
      <c r="X11" s="49"/>
      <c r="Y11" s="49"/>
      <c r="Z11" s="49"/>
    </row>
    <row r="12" spans="1:29">
      <c r="B12" s="46" t="s">
        <v>482</v>
      </c>
      <c r="C12" s="46" t="s">
        <v>1593</v>
      </c>
      <c r="D12" s="46" t="s">
        <v>13</v>
      </c>
      <c r="E12" s="47">
        <v>255</v>
      </c>
      <c r="F12" s="47"/>
      <c r="G12" s="46"/>
      <c r="H12" s="46"/>
      <c r="I12" s="47"/>
      <c r="J12" s="47"/>
      <c r="K12" s="47"/>
      <c r="L12" s="46" t="s">
        <v>1603</v>
      </c>
      <c r="M12" s="85" t="s">
        <v>14</v>
      </c>
      <c r="N12" s="49" t="s">
        <v>494</v>
      </c>
      <c r="O12" s="49"/>
      <c r="P12" s="49"/>
      <c r="R12" s="162" t="s">
        <v>136</v>
      </c>
      <c r="S12" s="162" t="s">
        <v>136</v>
      </c>
      <c r="T12" s="159"/>
      <c r="V12" s="49"/>
      <c r="W12" s="49"/>
      <c r="X12" s="49"/>
      <c r="Y12" s="49"/>
      <c r="Z12" s="49"/>
    </row>
    <row r="13" spans="1:29">
      <c r="B13" s="46" t="s">
        <v>485</v>
      </c>
      <c r="C13" s="46" t="s">
        <v>486</v>
      </c>
      <c r="D13" s="46" t="s">
        <v>203</v>
      </c>
      <c r="E13" s="47"/>
      <c r="F13" s="47"/>
      <c r="G13" s="46"/>
      <c r="H13" s="46"/>
      <c r="I13" s="47"/>
      <c r="J13" s="47"/>
      <c r="K13" s="47"/>
      <c r="L13" s="46" t="s">
        <v>1502</v>
      </c>
      <c r="M13" s="85" t="s">
        <v>14</v>
      </c>
      <c r="N13" s="49" t="s">
        <v>495</v>
      </c>
      <c r="O13" s="49"/>
      <c r="P13" s="49"/>
      <c r="R13" s="162" t="s">
        <v>136</v>
      </c>
      <c r="S13" s="162" t="s">
        <v>136</v>
      </c>
      <c r="T13" s="159"/>
      <c r="V13" s="49"/>
      <c r="W13" s="49"/>
      <c r="X13" s="49"/>
      <c r="Y13" s="49"/>
      <c r="Z13" s="49"/>
    </row>
    <row r="14" spans="1:29" ht="63">
      <c r="B14" s="46" t="s">
        <v>487</v>
      </c>
      <c r="C14" s="46" t="s">
        <v>1592</v>
      </c>
      <c r="D14" s="46" t="s">
        <v>47</v>
      </c>
      <c r="E14" s="47">
        <v>50</v>
      </c>
      <c r="F14" s="47"/>
      <c r="G14" s="46"/>
      <c r="H14" s="46"/>
      <c r="I14" s="47"/>
      <c r="J14" s="47"/>
      <c r="K14" s="47"/>
      <c r="L14" s="46" t="s">
        <v>1602</v>
      </c>
      <c r="M14" s="85" t="s">
        <v>14</v>
      </c>
      <c r="N14" s="48"/>
      <c r="O14" s="48" t="s">
        <v>1834</v>
      </c>
      <c r="P14" s="49"/>
      <c r="R14" s="162" t="s">
        <v>136</v>
      </c>
      <c r="S14" s="162" t="s">
        <v>136</v>
      </c>
      <c r="T14" s="159"/>
      <c r="V14" s="49"/>
      <c r="W14" s="49"/>
      <c r="X14" s="49"/>
      <c r="Y14" s="49"/>
      <c r="Z14" s="49"/>
    </row>
    <row r="15" spans="1:29" ht="88.2">
      <c r="B15" s="46" t="s">
        <v>489</v>
      </c>
      <c r="C15" s="46" t="s">
        <v>490</v>
      </c>
      <c r="D15" s="135" t="s">
        <v>13</v>
      </c>
      <c r="E15" s="47" t="s">
        <v>48</v>
      </c>
      <c r="F15" s="47"/>
      <c r="G15" s="46"/>
      <c r="H15" s="46"/>
      <c r="I15" s="47"/>
      <c r="J15" s="47"/>
      <c r="K15" s="47"/>
      <c r="L15" s="46" t="s">
        <v>491</v>
      </c>
      <c r="M15" s="85" t="s">
        <v>14</v>
      </c>
      <c r="N15" s="49" t="s">
        <v>499</v>
      </c>
      <c r="O15" s="48"/>
      <c r="P15" s="48" t="s">
        <v>496</v>
      </c>
      <c r="R15" s="162" t="s">
        <v>136</v>
      </c>
      <c r="S15" s="162" t="s">
        <v>136</v>
      </c>
      <c r="T15" s="159"/>
      <c r="V15" s="49"/>
      <c r="W15" s="49"/>
      <c r="X15" s="49"/>
      <c r="Y15" s="49"/>
      <c r="Z15" s="49"/>
    </row>
    <row r="16" spans="1:29" ht="25.2">
      <c r="B16" s="85" t="s">
        <v>1313</v>
      </c>
      <c r="C16" s="85" t="s">
        <v>1314</v>
      </c>
      <c r="D16" s="85" t="s">
        <v>47</v>
      </c>
      <c r="E16" s="84">
        <v>10</v>
      </c>
      <c r="F16" s="84"/>
      <c r="G16" s="85"/>
      <c r="H16" s="85"/>
      <c r="I16" s="84"/>
      <c r="J16" s="84"/>
      <c r="K16" s="84"/>
      <c r="L16" s="85" t="s">
        <v>1322</v>
      </c>
      <c r="M16" s="85" t="s">
        <v>14</v>
      </c>
      <c r="N16" s="87"/>
      <c r="O16" s="86" t="s">
        <v>1321</v>
      </c>
      <c r="P16" s="86" t="s">
        <v>1407</v>
      </c>
      <c r="R16" s="162" t="s">
        <v>136</v>
      </c>
      <c r="S16" s="162" t="s">
        <v>136</v>
      </c>
      <c r="T16" s="159"/>
      <c r="V16" s="49"/>
      <c r="W16" s="49"/>
      <c r="X16" s="49"/>
      <c r="Y16" s="49"/>
      <c r="Z16" s="49"/>
    </row>
    <row r="17" spans="2:26">
      <c r="B17" s="46" t="s">
        <v>243</v>
      </c>
      <c r="C17" s="46" t="s">
        <v>244</v>
      </c>
      <c r="D17" s="46" t="s">
        <v>13</v>
      </c>
      <c r="E17" s="47">
        <v>20</v>
      </c>
      <c r="F17" s="47"/>
      <c r="G17" s="46"/>
      <c r="H17" s="46"/>
      <c r="I17" s="47"/>
      <c r="J17" s="47"/>
      <c r="K17" s="47"/>
      <c r="L17" s="46" t="s">
        <v>245</v>
      </c>
      <c r="M17" s="46" t="s">
        <v>14</v>
      </c>
      <c r="N17" s="49" t="s">
        <v>243</v>
      </c>
      <c r="O17" s="49"/>
      <c r="P17" s="49"/>
      <c r="R17" s="162" t="s">
        <v>136</v>
      </c>
      <c r="S17" s="162" t="s">
        <v>136</v>
      </c>
      <c r="T17" s="159"/>
      <c r="V17" s="49"/>
      <c r="W17" s="49"/>
      <c r="X17" s="49"/>
      <c r="Y17" s="49"/>
      <c r="Z17" s="49"/>
    </row>
    <row r="18" spans="2:26">
      <c r="B18" s="46" t="s">
        <v>246</v>
      </c>
      <c r="C18" s="46" t="s">
        <v>247</v>
      </c>
      <c r="D18" s="46" t="s">
        <v>13</v>
      </c>
      <c r="E18" s="47">
        <v>20</v>
      </c>
      <c r="F18" s="47"/>
      <c r="G18" s="46"/>
      <c r="H18" s="46"/>
      <c r="I18" s="47"/>
      <c r="J18" s="47"/>
      <c r="K18" s="47"/>
      <c r="L18" s="46" t="s">
        <v>242</v>
      </c>
      <c r="M18" s="46" t="s">
        <v>14</v>
      </c>
      <c r="N18" s="49" t="s">
        <v>246</v>
      </c>
      <c r="O18" s="87" t="s">
        <v>1833</v>
      </c>
      <c r="P18" s="49"/>
      <c r="R18" s="162" t="s">
        <v>136</v>
      </c>
      <c r="S18" s="162" t="s">
        <v>136</v>
      </c>
      <c r="T18" s="159"/>
      <c r="V18" s="49"/>
      <c r="W18" s="49"/>
      <c r="X18" s="49"/>
      <c r="Y18" s="49"/>
      <c r="Z18" s="49"/>
    </row>
    <row r="19" spans="2:26">
      <c r="B19" s="85" t="s">
        <v>1581</v>
      </c>
      <c r="C19" s="85" t="s">
        <v>1583</v>
      </c>
      <c r="D19" s="85" t="s">
        <v>13</v>
      </c>
      <c r="E19" s="84">
        <v>20</v>
      </c>
      <c r="F19" s="84"/>
      <c r="G19" s="85"/>
      <c r="H19" s="85"/>
      <c r="I19" s="84"/>
      <c r="J19" s="84"/>
      <c r="K19" s="84"/>
      <c r="L19" s="85" t="s">
        <v>245</v>
      </c>
      <c r="M19" s="85"/>
      <c r="N19" s="85" t="s">
        <v>1581</v>
      </c>
      <c r="O19" s="87"/>
      <c r="P19" s="49"/>
      <c r="R19" s="162" t="s">
        <v>136</v>
      </c>
      <c r="S19" s="162" t="s">
        <v>136</v>
      </c>
      <c r="T19" s="159"/>
      <c r="V19" s="49"/>
      <c r="W19" s="49"/>
      <c r="X19" s="49"/>
      <c r="Y19" s="49"/>
      <c r="Z19" s="49"/>
    </row>
    <row r="20" spans="2:26">
      <c r="B20" s="85" t="s">
        <v>1582</v>
      </c>
      <c r="C20" s="85" t="s">
        <v>1584</v>
      </c>
      <c r="D20" s="85" t="s">
        <v>13</v>
      </c>
      <c r="E20" s="84">
        <v>20</v>
      </c>
      <c r="F20" s="84"/>
      <c r="G20" s="85"/>
      <c r="H20" s="85"/>
      <c r="I20" s="84"/>
      <c r="J20" s="84"/>
      <c r="K20" s="84"/>
      <c r="L20" s="85" t="s">
        <v>242</v>
      </c>
      <c r="M20" s="85"/>
      <c r="N20" s="85" t="s">
        <v>1582</v>
      </c>
      <c r="O20" s="87"/>
      <c r="P20" s="49"/>
      <c r="R20" s="162" t="s">
        <v>136</v>
      </c>
      <c r="S20" s="162" t="s">
        <v>136</v>
      </c>
      <c r="T20" s="159"/>
      <c r="V20" s="49"/>
      <c r="W20" s="49"/>
      <c r="X20" s="49"/>
      <c r="Y20" s="49"/>
      <c r="Z20" s="49"/>
    </row>
    <row r="21" spans="2:26" ht="37.799999999999997">
      <c r="B21" s="46" t="s">
        <v>252</v>
      </c>
      <c r="C21" s="46" t="s">
        <v>253</v>
      </c>
      <c r="D21" s="46" t="s">
        <v>193</v>
      </c>
      <c r="E21" s="47">
        <v>100</v>
      </c>
      <c r="F21" s="47"/>
      <c r="G21" s="46"/>
      <c r="H21" s="46"/>
      <c r="I21" s="47"/>
      <c r="J21" s="47"/>
      <c r="K21" s="47"/>
      <c r="L21" s="85" t="s">
        <v>1828</v>
      </c>
      <c r="M21" s="46" t="s">
        <v>14</v>
      </c>
      <c r="N21" s="86" t="s">
        <v>1829</v>
      </c>
      <c r="O21" s="86" t="s">
        <v>1832</v>
      </c>
      <c r="P21" s="86" t="s">
        <v>1831</v>
      </c>
      <c r="R21" s="162" t="s">
        <v>136</v>
      </c>
      <c r="S21" s="162" t="s">
        <v>136</v>
      </c>
      <c r="T21" s="159"/>
      <c r="V21" s="49"/>
      <c r="W21" s="49"/>
      <c r="X21" s="49"/>
      <c r="Y21" s="49"/>
      <c r="Z21" s="49"/>
    </row>
    <row r="22" spans="2:26" ht="25.2">
      <c r="B22" s="46" t="s">
        <v>255</v>
      </c>
      <c r="C22" s="46" t="s">
        <v>1595</v>
      </c>
      <c r="D22" s="46" t="s">
        <v>193</v>
      </c>
      <c r="E22" s="47">
        <v>100</v>
      </c>
      <c r="F22" s="47"/>
      <c r="G22" s="46"/>
      <c r="H22" s="46"/>
      <c r="I22" s="47"/>
      <c r="J22" s="47"/>
      <c r="K22" s="47"/>
      <c r="L22" s="46" t="s">
        <v>254</v>
      </c>
      <c r="M22" s="46" t="s">
        <v>14</v>
      </c>
      <c r="N22" s="48" t="s">
        <v>502</v>
      </c>
      <c r="O22" s="48" t="s">
        <v>501</v>
      </c>
      <c r="P22" s="49"/>
      <c r="R22" s="162" t="s">
        <v>136</v>
      </c>
      <c r="S22" s="162" t="s">
        <v>136</v>
      </c>
      <c r="T22" s="159"/>
      <c r="V22" s="49"/>
      <c r="W22" s="49"/>
      <c r="X22" s="49"/>
      <c r="Y22" s="49"/>
      <c r="Z22" s="49"/>
    </row>
    <row r="23" spans="2:26" ht="25.2">
      <c r="B23" s="46" t="s">
        <v>257</v>
      </c>
      <c r="C23" s="46" t="s">
        <v>1597</v>
      </c>
      <c r="D23" s="46" t="s">
        <v>193</v>
      </c>
      <c r="E23" s="47">
        <v>100</v>
      </c>
      <c r="F23" s="47"/>
      <c r="G23" s="46"/>
      <c r="H23" s="46"/>
      <c r="I23" s="47"/>
      <c r="J23" s="47"/>
      <c r="K23" s="47"/>
      <c r="L23" s="46" t="s">
        <v>254</v>
      </c>
      <c r="M23" s="46"/>
      <c r="N23" s="137" t="s">
        <v>1579</v>
      </c>
      <c r="O23" s="138" t="s">
        <v>1580</v>
      </c>
      <c r="P23" s="86"/>
      <c r="R23" s="162" t="s">
        <v>136</v>
      </c>
      <c r="S23" s="162" t="s">
        <v>136</v>
      </c>
      <c r="T23" s="159"/>
      <c r="V23" s="49"/>
      <c r="W23" s="49"/>
      <c r="X23" s="49"/>
      <c r="Y23" s="49"/>
      <c r="Z23" s="49"/>
    </row>
    <row r="24" spans="2:26">
      <c r="B24" s="46" t="s">
        <v>259</v>
      </c>
      <c r="C24" s="46" t="s">
        <v>260</v>
      </c>
      <c r="D24" s="46" t="s">
        <v>193</v>
      </c>
      <c r="E24" s="47">
        <v>100</v>
      </c>
      <c r="F24" s="47"/>
      <c r="G24" s="46"/>
      <c r="H24" s="46"/>
      <c r="I24" s="47"/>
      <c r="J24" s="47"/>
      <c r="K24" s="47"/>
      <c r="L24" s="46" t="s">
        <v>254</v>
      </c>
      <c r="M24" s="46"/>
      <c r="N24" s="49"/>
      <c r="O24" s="49"/>
      <c r="P24" s="49"/>
      <c r="R24" s="162" t="s">
        <v>136</v>
      </c>
      <c r="S24" s="162" t="s">
        <v>136</v>
      </c>
      <c r="T24" s="159"/>
      <c r="V24" s="49"/>
      <c r="W24" s="49"/>
      <c r="X24" s="49"/>
      <c r="Y24" s="49"/>
      <c r="Z24" s="49"/>
    </row>
    <row r="25" spans="2:26">
      <c r="B25" s="46" t="s">
        <v>261</v>
      </c>
      <c r="C25" s="46" t="s">
        <v>262</v>
      </c>
      <c r="D25" s="46" t="s">
        <v>193</v>
      </c>
      <c r="E25" s="47">
        <v>100</v>
      </c>
      <c r="F25" s="47"/>
      <c r="G25" s="46"/>
      <c r="H25" s="46"/>
      <c r="I25" s="47"/>
      <c r="J25" s="47"/>
      <c r="K25" s="47"/>
      <c r="L25" s="46" t="s">
        <v>254</v>
      </c>
      <c r="M25" s="46"/>
      <c r="N25" s="49"/>
      <c r="O25" s="49"/>
      <c r="P25" s="49"/>
      <c r="R25" s="162" t="s">
        <v>136</v>
      </c>
      <c r="S25" s="162" t="s">
        <v>136</v>
      </c>
      <c r="T25" s="159"/>
      <c r="V25" s="49"/>
      <c r="W25" s="49"/>
      <c r="X25" s="49"/>
      <c r="Y25" s="49"/>
      <c r="Z25" s="49"/>
    </row>
    <row r="26" spans="2:26">
      <c r="B26" s="46" t="s">
        <v>43</v>
      </c>
      <c r="C26" s="46" t="s">
        <v>1363</v>
      </c>
      <c r="D26" s="46" t="s">
        <v>17</v>
      </c>
      <c r="E26" s="47">
        <v>8</v>
      </c>
      <c r="F26" s="47" t="s">
        <v>86</v>
      </c>
      <c r="G26" s="54" t="s">
        <v>135</v>
      </c>
      <c r="H26" s="46"/>
      <c r="I26" s="47"/>
      <c r="J26" s="47"/>
      <c r="K26" s="47"/>
      <c r="L26" s="46" t="s">
        <v>82</v>
      </c>
      <c r="M26" s="46" t="s">
        <v>14</v>
      </c>
      <c r="N26" s="49"/>
      <c r="O26" s="49"/>
      <c r="P26" s="49"/>
      <c r="R26" s="162" t="s">
        <v>136</v>
      </c>
      <c r="S26" s="162" t="s">
        <v>136</v>
      </c>
      <c r="T26" s="159"/>
      <c r="V26" s="49"/>
      <c r="W26" s="49"/>
      <c r="X26" s="49"/>
      <c r="Y26" s="49"/>
      <c r="Z26" s="49"/>
    </row>
    <row r="27" spans="2:26">
      <c r="B27" s="46" t="s">
        <v>44</v>
      </c>
      <c r="C27" s="46" t="s">
        <v>18</v>
      </c>
      <c r="D27" s="46" t="s">
        <v>17</v>
      </c>
      <c r="E27" s="47">
        <v>8</v>
      </c>
      <c r="F27" s="47" t="s">
        <v>86</v>
      </c>
      <c r="G27" s="54" t="s">
        <v>135</v>
      </c>
      <c r="H27" s="46"/>
      <c r="I27" s="47"/>
      <c r="J27" s="47"/>
      <c r="K27" s="47"/>
      <c r="L27" s="46" t="s">
        <v>82</v>
      </c>
      <c r="M27" s="46" t="s">
        <v>14</v>
      </c>
      <c r="N27" s="49"/>
      <c r="O27" s="49"/>
      <c r="P27" s="49"/>
      <c r="R27" s="162" t="s">
        <v>136</v>
      </c>
      <c r="S27" s="162" t="s">
        <v>136</v>
      </c>
      <c r="T27" s="159"/>
      <c r="V27" s="49"/>
      <c r="W27" s="49"/>
      <c r="X27" s="49"/>
      <c r="Y27" s="49"/>
      <c r="Z27" s="49"/>
    </row>
    <row r="28" spans="2:26">
      <c r="B28" s="46" t="s">
        <v>19</v>
      </c>
      <c r="C28" s="46" t="s">
        <v>20</v>
      </c>
      <c r="D28" s="135" t="s">
        <v>13</v>
      </c>
      <c r="E28" s="47">
        <v>40</v>
      </c>
      <c r="F28" s="47" t="s">
        <v>86</v>
      </c>
      <c r="G28" s="46"/>
      <c r="H28" s="46"/>
      <c r="I28" s="47"/>
      <c r="J28" s="47"/>
      <c r="K28" s="47"/>
      <c r="L28" s="46" t="s">
        <v>78</v>
      </c>
      <c r="M28" s="46" t="s">
        <v>14</v>
      </c>
      <c r="N28" s="49"/>
      <c r="O28" s="49"/>
      <c r="P28" s="49"/>
      <c r="R28" s="162" t="s">
        <v>136</v>
      </c>
      <c r="S28" s="162" t="s">
        <v>136</v>
      </c>
      <c r="T28" s="159"/>
      <c r="V28" s="49"/>
      <c r="W28" s="49"/>
      <c r="X28" s="49"/>
      <c r="Y28" s="49"/>
      <c r="Z28" s="49"/>
    </row>
    <row r="29" spans="2:26">
      <c r="B29" s="46" t="s">
        <v>21</v>
      </c>
      <c r="C29" s="46" t="s">
        <v>22</v>
      </c>
      <c r="D29" s="135" t="s">
        <v>13</v>
      </c>
      <c r="E29" s="47">
        <v>40</v>
      </c>
      <c r="F29" s="47" t="s">
        <v>86</v>
      </c>
      <c r="G29" s="46"/>
      <c r="H29" s="46"/>
      <c r="I29" s="47"/>
      <c r="J29" s="47"/>
      <c r="K29" s="47"/>
      <c r="L29" s="46" t="s">
        <v>78</v>
      </c>
      <c r="M29" s="46" t="s">
        <v>14</v>
      </c>
      <c r="N29" s="49"/>
      <c r="O29" s="49"/>
      <c r="P29" s="49"/>
      <c r="R29" s="162" t="s">
        <v>136</v>
      </c>
      <c r="S29" s="162" t="s">
        <v>136</v>
      </c>
      <c r="T29" s="159"/>
      <c r="V29" s="49"/>
      <c r="W29" s="49"/>
      <c r="X29" s="49"/>
      <c r="Y29" s="49"/>
      <c r="Z29" s="49"/>
    </row>
    <row r="30" spans="2:26" ht="25.2">
      <c r="B30" s="46" t="s">
        <v>45</v>
      </c>
      <c r="C30" s="46" t="s">
        <v>46</v>
      </c>
      <c r="D30" s="46" t="s">
        <v>13</v>
      </c>
      <c r="E30" s="47">
        <v>10</v>
      </c>
      <c r="F30" s="47" t="s">
        <v>86</v>
      </c>
      <c r="G30" s="46"/>
      <c r="H30" s="46"/>
      <c r="I30" s="47"/>
      <c r="J30" s="47"/>
      <c r="K30" s="47"/>
      <c r="L30" s="46" t="s">
        <v>83</v>
      </c>
      <c r="M30" s="46" t="s">
        <v>14</v>
      </c>
      <c r="N30" s="49" t="s">
        <v>62</v>
      </c>
      <c r="O30" s="48" t="s">
        <v>63</v>
      </c>
      <c r="P30" s="49"/>
      <c r="R30" s="162" t="s">
        <v>136</v>
      </c>
      <c r="S30" s="162" t="s">
        <v>136</v>
      </c>
      <c r="T30" s="159"/>
      <c r="V30" s="49"/>
      <c r="W30" s="49"/>
      <c r="X30" s="49"/>
      <c r="Y30" s="49"/>
      <c r="Z30" s="49"/>
    </row>
    <row r="31" spans="2:26">
      <c r="R31" s="165"/>
      <c r="S31" s="165"/>
      <c r="T31" s="165"/>
      <c r="U31" s="165"/>
    </row>
    <row r="32" spans="2:26">
      <c r="R32" s="165"/>
      <c r="S32" s="165"/>
      <c r="T32" s="165"/>
      <c r="U32" s="165"/>
    </row>
    <row r="33" spans="18:21">
      <c r="R33" s="165"/>
      <c r="S33" s="165"/>
      <c r="T33" s="165"/>
      <c r="U33" s="165"/>
    </row>
    <row r="34" spans="18:21">
      <c r="R34" s="165"/>
      <c r="S34" s="165"/>
      <c r="T34" s="165"/>
      <c r="U34" s="165"/>
    </row>
    <row r="35" spans="18:21">
      <c r="R35" s="165"/>
      <c r="S35" s="165"/>
      <c r="T35" s="165"/>
      <c r="U35" s="165"/>
    </row>
    <row r="36" spans="18:21">
      <c r="R36" s="165"/>
      <c r="S36" s="165"/>
      <c r="T36" s="165"/>
      <c r="U36" s="165"/>
    </row>
    <row r="37" spans="18:21">
      <c r="R37" s="165"/>
      <c r="S37" s="165"/>
      <c r="T37" s="165"/>
      <c r="U37" s="165"/>
    </row>
    <row r="38" spans="18:21">
      <c r="R38" s="165"/>
      <c r="S38" s="165"/>
      <c r="T38" s="165"/>
      <c r="U38" s="165"/>
    </row>
    <row r="39" spans="18:21">
      <c r="R39" s="165"/>
      <c r="S39" s="165"/>
      <c r="T39" s="165"/>
      <c r="U39" s="165"/>
    </row>
    <row r="40" spans="18:21">
      <c r="R40" s="165"/>
      <c r="S40" s="165"/>
      <c r="T40" s="165"/>
      <c r="U40" s="165"/>
    </row>
    <row r="41" spans="18:21">
      <c r="R41" s="165"/>
      <c r="S41" s="165"/>
      <c r="T41" s="165"/>
      <c r="U41" s="165"/>
    </row>
    <row r="42" spans="18:21">
      <c r="R42" s="165"/>
      <c r="S42" s="165"/>
      <c r="T42" s="165"/>
      <c r="U42" s="165"/>
    </row>
    <row r="43" spans="18:21">
      <c r="R43" s="165"/>
      <c r="S43" s="165"/>
      <c r="T43" s="165"/>
      <c r="U43" s="165"/>
    </row>
    <row r="44" spans="18:21">
      <c r="R44" s="165"/>
      <c r="S44" s="165"/>
      <c r="T44" s="165"/>
      <c r="U44" s="165"/>
    </row>
    <row r="45" spans="18:21">
      <c r="R45" s="165"/>
      <c r="S45" s="165"/>
      <c r="T45" s="165"/>
      <c r="U45" s="165"/>
    </row>
    <row r="46" spans="18:21">
      <c r="R46" s="165"/>
      <c r="S46" s="165"/>
      <c r="T46" s="93"/>
    </row>
    <row r="47" spans="18:21">
      <c r="R47" s="165"/>
      <c r="S47" s="165"/>
      <c r="T47" s="93"/>
    </row>
    <row r="48" spans="18:21">
      <c r="R48" s="165"/>
      <c r="S48" s="165"/>
      <c r="T48" s="93"/>
    </row>
    <row r="49" spans="18:20">
      <c r="R49" s="165"/>
      <c r="S49" s="165"/>
      <c r="T49" s="93"/>
    </row>
    <row r="50" spans="18:20">
      <c r="R50" s="165"/>
      <c r="S50" s="165"/>
      <c r="T50" s="93"/>
    </row>
    <row r="51" spans="18:20">
      <c r="R51" s="165"/>
      <c r="S51" s="165"/>
      <c r="T51" s="93"/>
    </row>
    <row r="52" spans="18:20">
      <c r="R52" s="165"/>
      <c r="S52" s="165"/>
      <c r="T52" s="93"/>
    </row>
    <row r="53" spans="18:20">
      <c r="R53" s="165"/>
      <c r="S53" s="165"/>
      <c r="T53" s="93"/>
    </row>
    <row r="54" spans="18:20">
      <c r="R54" s="165"/>
      <c r="S54" s="165"/>
      <c r="T54" s="93"/>
    </row>
    <row r="55" spans="18:20">
      <c r="R55" s="165"/>
      <c r="S55" s="165"/>
      <c r="T55" s="93"/>
    </row>
    <row r="56" spans="18:20">
      <c r="R56" s="165"/>
      <c r="S56" s="165"/>
      <c r="T56" s="93"/>
    </row>
    <row r="57" spans="18:20">
      <c r="R57" s="165"/>
      <c r="S57" s="165"/>
      <c r="T57" s="93"/>
    </row>
    <row r="58" spans="18:20">
      <c r="R58" s="165"/>
      <c r="S58" s="165"/>
      <c r="T58" s="93"/>
    </row>
    <row r="59" spans="18:20">
      <c r="R59" s="165"/>
      <c r="S59" s="165"/>
      <c r="T59" s="93"/>
    </row>
    <row r="60" spans="18:20">
      <c r="R60" s="165"/>
      <c r="S60" s="165"/>
      <c r="T60" s="93"/>
    </row>
    <row r="61" spans="18:20">
      <c r="R61" s="165"/>
      <c r="S61" s="165"/>
      <c r="T61" s="93"/>
    </row>
    <row r="62" spans="18:20">
      <c r="R62" s="165"/>
      <c r="S62" s="165"/>
      <c r="T62" s="93"/>
    </row>
    <row r="63" spans="18:20">
      <c r="R63" s="165"/>
      <c r="S63" s="165"/>
      <c r="T63" s="93"/>
    </row>
    <row r="64" spans="18:20">
      <c r="R64" s="165"/>
      <c r="S64" s="165"/>
      <c r="T64" s="93"/>
    </row>
    <row r="65" spans="18:20">
      <c r="R65" s="165"/>
      <c r="S65" s="165"/>
      <c r="T65" s="93"/>
    </row>
    <row r="66" spans="18:20">
      <c r="R66" s="165"/>
      <c r="S66" s="165"/>
      <c r="T66" s="93"/>
    </row>
    <row r="67" spans="18:20">
      <c r="R67" s="165"/>
      <c r="S67" s="165"/>
      <c r="T67" s="93"/>
    </row>
    <row r="68" spans="18:20">
      <c r="R68" s="165"/>
      <c r="S68" s="165"/>
      <c r="T68" s="93"/>
    </row>
    <row r="69" spans="18:20">
      <c r="R69" s="165"/>
      <c r="S69" s="165"/>
      <c r="T69" s="93"/>
    </row>
    <row r="70" spans="18:20">
      <c r="R70" s="165"/>
      <c r="S70" s="165"/>
      <c r="T70" s="93"/>
    </row>
    <row r="71" spans="18:20">
      <c r="R71" s="165"/>
      <c r="S71" s="165"/>
      <c r="T71" s="93"/>
    </row>
    <row r="72" spans="18:20">
      <c r="R72" s="165"/>
      <c r="S72" s="165"/>
      <c r="T72" s="93"/>
    </row>
    <row r="73" spans="18:20">
      <c r="R73" s="165"/>
      <c r="S73" s="165"/>
      <c r="T73" s="93"/>
    </row>
    <row r="74" spans="18:20">
      <c r="R74" s="165"/>
      <c r="S74" s="165"/>
      <c r="T74" s="93"/>
    </row>
    <row r="75" spans="18:20">
      <c r="R75" s="165"/>
      <c r="S75" s="165"/>
      <c r="T75" s="93"/>
    </row>
    <row r="76" spans="18:20">
      <c r="R76" s="165"/>
      <c r="S76" s="165"/>
      <c r="T76" s="93"/>
    </row>
    <row r="77" spans="18:20">
      <c r="R77" s="165"/>
      <c r="S77" s="165"/>
      <c r="T77" s="93"/>
    </row>
    <row r="78" spans="18:20">
      <c r="R78" s="165"/>
      <c r="S78" s="165"/>
      <c r="T78" s="93"/>
    </row>
    <row r="79" spans="18:20">
      <c r="R79" s="165"/>
      <c r="S79" s="165"/>
      <c r="T79" s="93"/>
    </row>
    <row r="80" spans="18:20">
      <c r="R80" s="165"/>
      <c r="S80" s="165"/>
      <c r="T80" s="93"/>
    </row>
    <row r="81" spans="18:20">
      <c r="R81" s="165"/>
      <c r="S81" s="165"/>
      <c r="T81" s="93"/>
    </row>
    <row r="82" spans="18:20">
      <c r="R82" s="165"/>
      <c r="S82" s="165"/>
      <c r="T82" s="93"/>
    </row>
    <row r="83" spans="18:20">
      <c r="R83" s="165"/>
      <c r="S83" s="165"/>
      <c r="T83" s="93"/>
    </row>
    <row r="84" spans="18:20">
      <c r="R84" s="165"/>
      <c r="S84" s="165"/>
      <c r="T84" s="93"/>
    </row>
    <row r="85" spans="18:20">
      <c r="R85" s="165"/>
      <c r="S85" s="165"/>
      <c r="T85" s="93"/>
    </row>
    <row r="86" spans="18:20">
      <c r="R86" s="165"/>
      <c r="S86" s="165"/>
      <c r="T86" s="93"/>
    </row>
    <row r="87" spans="18:20">
      <c r="R87" s="165"/>
      <c r="S87" s="165"/>
      <c r="T87" s="93"/>
    </row>
    <row r="88" spans="18:20">
      <c r="R88" s="166"/>
      <c r="S88" s="166"/>
      <c r="T88" s="147"/>
    </row>
    <row r="89" spans="18:20">
      <c r="R89" s="166"/>
      <c r="S89" s="166"/>
      <c r="T89" s="147"/>
    </row>
    <row r="90" spans="18:20">
      <c r="R90" s="166"/>
      <c r="S90" s="166"/>
      <c r="T90" s="147"/>
    </row>
    <row r="91" spans="18:20">
      <c r="R91" s="166"/>
      <c r="S91" s="166"/>
      <c r="T91" s="147"/>
    </row>
    <row r="92" spans="18:20">
      <c r="R92" s="166"/>
      <c r="S92" s="166"/>
      <c r="T92" s="147"/>
    </row>
    <row r="93" spans="18:20">
      <c r="R93" s="166"/>
      <c r="S93" s="166"/>
      <c r="T93" s="147"/>
    </row>
    <row r="94" spans="18:20">
      <c r="R94" s="167"/>
      <c r="S94" s="167"/>
      <c r="T94" s="119"/>
    </row>
    <row r="95" spans="18:20">
      <c r="R95" s="167"/>
      <c r="S95" s="167"/>
      <c r="T95" s="119"/>
    </row>
    <row r="96" spans="18:20">
      <c r="R96" s="167"/>
      <c r="S96" s="165"/>
      <c r="T96" s="93"/>
    </row>
    <row r="97" spans="18:20">
      <c r="R97" s="167"/>
      <c r="S97" s="165"/>
      <c r="T97" s="93"/>
    </row>
    <row r="98" spans="18:20">
      <c r="R98" s="167"/>
      <c r="S98" s="165"/>
      <c r="T98" s="93"/>
    </row>
    <row r="99" spans="18:20">
      <c r="R99" s="167"/>
      <c r="S99" s="165"/>
      <c r="T99" s="93"/>
    </row>
    <row r="100" spans="18:20">
      <c r="R100" s="165"/>
      <c r="S100" s="165"/>
      <c r="T100" s="93"/>
    </row>
    <row r="101" spans="18:20">
      <c r="R101" s="165"/>
      <c r="S101" s="165"/>
      <c r="T101" s="93"/>
    </row>
    <row r="102" spans="18:20">
      <c r="R102" s="50"/>
      <c r="S102" s="50"/>
      <c r="T102" s="50"/>
    </row>
    <row r="103" spans="18:20">
      <c r="R103" s="50"/>
      <c r="S103" s="50"/>
      <c r="T103" s="50"/>
    </row>
    <row r="104" spans="18:20">
      <c r="R104" s="50"/>
      <c r="S104" s="50"/>
      <c r="T104" s="50"/>
    </row>
  </sheetData>
  <mergeCells count="4">
    <mergeCell ref="D5:F5"/>
    <mergeCell ref="H5:P5"/>
    <mergeCell ref="D6:F6"/>
    <mergeCell ref="H6:P6"/>
  </mergeCells>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D3199-0E45-49A3-9EC6-9D562BA9E919}">
  <sheetPr codeName="Sheet11">
    <tabColor theme="7" tint="0.79998168889431442"/>
  </sheetPr>
  <dimension ref="A2:Z37"/>
  <sheetViews>
    <sheetView showGridLines="0" workbookViewId="0"/>
  </sheetViews>
  <sheetFormatPr defaultColWidth="8.90625" defaultRowHeight="15"/>
  <cols>
    <col min="1" max="1" width="2.54296875" style="50" customWidth="1"/>
    <col min="2" max="3" width="22.81640625" style="50" customWidth="1"/>
    <col min="4" max="4" width="7.1796875" style="50" bestFit="1" customWidth="1"/>
    <col min="5" max="5" width="5.1796875" style="50" customWidth="1"/>
    <col min="6" max="6" width="4.453125" style="50" customWidth="1"/>
    <col min="7" max="7" width="15.36328125" style="50" bestFit="1" customWidth="1"/>
    <col min="8" max="8" width="4.453125" style="50" customWidth="1"/>
    <col min="9" max="9" width="3.08984375" style="50" bestFit="1" customWidth="1"/>
    <col min="10" max="10" width="3.1796875" style="50" bestFit="1" customWidth="1"/>
    <col min="11" max="11" width="3" style="50" bestFit="1" customWidth="1"/>
    <col min="12" max="12" width="12" style="50" bestFit="1" customWidth="1"/>
    <col min="13" max="13" width="4.453125" style="50" customWidth="1"/>
    <col min="14" max="14" width="31.36328125" style="50" customWidth="1"/>
    <col min="15" max="15" width="27.36328125" style="50" customWidth="1"/>
    <col min="16" max="16" width="33.36328125" style="50" customWidth="1"/>
    <col min="17" max="17" width="2.36328125" style="50" customWidth="1"/>
    <col min="18" max="18" width="6.54296875" style="50" customWidth="1"/>
    <col min="19" max="23" width="20.6328125" style="50" customWidth="1"/>
    <col min="24" max="16384" width="8.90625" style="50"/>
  </cols>
  <sheetData>
    <row r="2" spans="1:26">
      <c r="A2" s="106"/>
      <c r="B2" s="112" t="s">
        <v>38</v>
      </c>
      <c r="C2" s="106"/>
      <c r="D2" s="106"/>
      <c r="E2" s="106"/>
      <c r="F2" s="106"/>
      <c r="G2" s="106"/>
      <c r="H2" s="106"/>
      <c r="I2" s="106"/>
      <c r="J2" s="106"/>
      <c r="K2" s="106"/>
      <c r="L2" s="106"/>
      <c r="M2" s="106"/>
      <c r="N2" s="106"/>
      <c r="O2" s="106"/>
      <c r="P2" s="106"/>
      <c r="Q2" s="106"/>
      <c r="R2" s="106"/>
      <c r="S2" s="106"/>
      <c r="T2" s="106"/>
      <c r="U2" s="106"/>
      <c r="V2" s="106"/>
      <c r="W2" s="106"/>
      <c r="X2" s="106"/>
      <c r="Y2" s="106"/>
      <c r="Z2" s="106"/>
    </row>
    <row r="3" spans="1:26" ht="7.5" customHeight="1">
      <c r="A3" s="107"/>
      <c r="B3" s="107"/>
      <c r="C3" s="107"/>
      <c r="D3" s="107"/>
      <c r="E3" s="107"/>
      <c r="F3" s="107"/>
      <c r="G3" s="107"/>
      <c r="H3" s="107"/>
      <c r="I3" s="107"/>
      <c r="J3" s="107"/>
      <c r="K3" s="107"/>
      <c r="L3" s="107"/>
      <c r="M3" s="107"/>
      <c r="N3" s="107"/>
      <c r="O3" s="107"/>
      <c r="P3" s="107"/>
      <c r="Q3" s="107"/>
      <c r="R3" s="107"/>
      <c r="S3" s="107"/>
      <c r="T3" s="107"/>
      <c r="U3" s="107"/>
      <c r="V3" s="107"/>
      <c r="W3" s="107"/>
      <c r="X3" s="107"/>
      <c r="Y3" s="107"/>
      <c r="Z3" s="107"/>
    </row>
    <row r="5" spans="1:26">
      <c r="B5" s="17" t="s">
        <v>30</v>
      </c>
      <c r="C5" s="17" t="s">
        <v>31</v>
      </c>
      <c r="D5" s="266" t="s">
        <v>37</v>
      </c>
      <c r="E5" s="267"/>
      <c r="F5" s="268"/>
      <c r="G5" s="17" t="s">
        <v>74</v>
      </c>
      <c r="H5" s="266" t="s">
        <v>85</v>
      </c>
      <c r="I5" s="267"/>
      <c r="J5" s="267"/>
      <c r="K5" s="267"/>
      <c r="L5" s="267"/>
      <c r="M5" s="267"/>
      <c r="N5" s="267"/>
      <c r="O5" s="267"/>
      <c r="P5" s="268"/>
    </row>
    <row r="6" spans="1:26">
      <c r="B6" s="30" t="s">
        <v>1826</v>
      </c>
      <c r="C6" s="30" t="s">
        <v>1825</v>
      </c>
      <c r="D6" s="237" t="s">
        <v>1824</v>
      </c>
      <c r="E6" s="238"/>
      <c r="F6" s="239"/>
      <c r="G6" s="45" t="s">
        <v>75</v>
      </c>
      <c r="H6" s="240" t="s">
        <v>1823</v>
      </c>
      <c r="I6" s="241"/>
      <c r="J6" s="241"/>
      <c r="K6" s="241"/>
      <c r="L6" s="241"/>
      <c r="M6" s="241"/>
      <c r="N6" s="241"/>
      <c r="O6" s="241"/>
      <c r="P6" s="242"/>
      <c r="S6" s="50" t="s">
        <v>109</v>
      </c>
    </row>
    <row r="8" spans="1:26">
      <c r="B8" s="17" t="s">
        <v>32</v>
      </c>
      <c r="C8" s="17" t="s">
        <v>33</v>
      </c>
      <c r="D8" s="17" t="s">
        <v>34</v>
      </c>
      <c r="E8" s="109" t="s">
        <v>10</v>
      </c>
      <c r="F8" s="110" t="s">
        <v>23</v>
      </c>
      <c r="G8" s="110" t="s">
        <v>24</v>
      </c>
      <c r="H8" s="110" t="s">
        <v>25</v>
      </c>
      <c r="I8" s="110" t="s">
        <v>26</v>
      </c>
      <c r="J8" s="110" t="s">
        <v>27</v>
      </c>
      <c r="K8" s="110" t="s">
        <v>28</v>
      </c>
      <c r="L8" s="110" t="s">
        <v>29</v>
      </c>
      <c r="M8" s="110" t="s">
        <v>11</v>
      </c>
      <c r="N8" s="17" t="s">
        <v>35</v>
      </c>
      <c r="O8" s="17" t="s">
        <v>36</v>
      </c>
      <c r="P8" s="17" t="s">
        <v>12</v>
      </c>
      <c r="S8" s="105" t="s">
        <v>107</v>
      </c>
      <c r="T8" s="105" t="s">
        <v>107</v>
      </c>
      <c r="U8" s="105" t="s">
        <v>107</v>
      </c>
      <c r="V8" s="105" t="s">
        <v>107</v>
      </c>
      <c r="W8" s="105" t="s">
        <v>107</v>
      </c>
    </row>
    <row r="9" spans="1:26">
      <c r="B9" s="46" t="s">
        <v>403</v>
      </c>
      <c r="C9" s="46" t="s">
        <v>509</v>
      </c>
      <c r="D9" s="46" t="s">
        <v>64</v>
      </c>
      <c r="E9" s="47">
        <v>16</v>
      </c>
      <c r="F9" s="47"/>
      <c r="G9" s="46"/>
      <c r="H9" s="46"/>
      <c r="I9" s="47" t="s">
        <v>14</v>
      </c>
      <c r="J9" s="47" t="s">
        <v>14</v>
      </c>
      <c r="K9" s="47"/>
      <c r="L9" s="46"/>
      <c r="M9" s="46" t="s">
        <v>14</v>
      </c>
      <c r="N9" s="48" t="s">
        <v>356</v>
      </c>
      <c r="O9" s="49"/>
      <c r="P9" s="49" t="s">
        <v>359</v>
      </c>
      <c r="S9" s="51" t="s">
        <v>359</v>
      </c>
      <c r="T9" s="52"/>
      <c r="U9" s="53" t="s">
        <v>359</v>
      </c>
      <c r="V9" s="49"/>
      <c r="W9" s="49"/>
    </row>
    <row r="10" spans="1:26">
      <c r="B10" s="85" t="s">
        <v>175</v>
      </c>
      <c r="C10" s="85" t="s">
        <v>1586</v>
      </c>
      <c r="D10" s="85"/>
      <c r="E10" s="84">
        <v>40</v>
      </c>
      <c r="F10" s="84"/>
      <c r="G10" s="85"/>
      <c r="H10" s="85"/>
      <c r="I10" s="84"/>
      <c r="J10" s="84"/>
      <c r="K10" s="84"/>
      <c r="L10" s="85" t="s">
        <v>177</v>
      </c>
      <c r="M10" s="85" t="s">
        <v>14</v>
      </c>
      <c r="N10" s="86" t="s">
        <v>356</v>
      </c>
      <c r="O10" s="87" t="s">
        <v>1590</v>
      </c>
      <c r="P10" s="49" t="s">
        <v>359</v>
      </c>
      <c r="S10" s="49"/>
      <c r="T10" s="49"/>
      <c r="U10" s="49"/>
      <c r="V10" s="49"/>
      <c r="W10" s="49"/>
    </row>
    <row r="11" spans="1:26">
      <c r="B11" s="46" t="s">
        <v>480</v>
      </c>
      <c r="C11" s="46" t="s">
        <v>481</v>
      </c>
      <c r="D11" s="46" t="s">
        <v>13</v>
      </c>
      <c r="E11" s="47">
        <v>40</v>
      </c>
      <c r="F11" s="47"/>
      <c r="G11" s="46"/>
      <c r="H11" s="46"/>
      <c r="I11" s="47"/>
      <c r="J11" s="47"/>
      <c r="K11" s="47"/>
      <c r="L11" s="46" t="s">
        <v>177</v>
      </c>
      <c r="M11" s="46" t="s">
        <v>14</v>
      </c>
      <c r="N11" s="48" t="s">
        <v>497</v>
      </c>
      <c r="O11" s="49" t="s">
        <v>498</v>
      </c>
      <c r="P11" s="49"/>
      <c r="S11" s="49"/>
      <c r="T11" s="49"/>
      <c r="U11" s="49"/>
      <c r="V11" s="49"/>
      <c r="W11" s="49"/>
    </row>
    <row r="12" spans="1:26">
      <c r="B12" s="46" t="s">
        <v>178</v>
      </c>
      <c r="C12" s="46" t="s">
        <v>42</v>
      </c>
      <c r="D12" s="46" t="s">
        <v>13</v>
      </c>
      <c r="E12" s="47">
        <v>8</v>
      </c>
      <c r="F12" s="47"/>
      <c r="G12" s="46"/>
      <c r="H12" s="46"/>
      <c r="I12" s="47"/>
      <c r="J12" s="47"/>
      <c r="K12" s="47"/>
      <c r="L12" s="46" t="s">
        <v>179</v>
      </c>
      <c r="M12" s="46"/>
      <c r="N12" s="49" t="s">
        <v>464</v>
      </c>
      <c r="O12" s="49"/>
      <c r="P12" s="49"/>
      <c r="S12" s="49"/>
      <c r="T12" s="49"/>
      <c r="U12" s="49"/>
      <c r="V12" s="49"/>
      <c r="W12" s="49"/>
    </row>
    <row r="13" spans="1:26">
      <c r="B13" s="46" t="s">
        <v>482</v>
      </c>
      <c r="C13" s="46" t="s">
        <v>483</v>
      </c>
      <c r="D13" s="46" t="s">
        <v>13</v>
      </c>
      <c r="E13" s="47">
        <v>255</v>
      </c>
      <c r="F13" s="47"/>
      <c r="G13" s="46"/>
      <c r="H13" s="46"/>
      <c r="I13" s="47"/>
      <c r="J13" s="47"/>
      <c r="K13" s="47"/>
      <c r="L13" s="46" t="s">
        <v>484</v>
      </c>
      <c r="M13" s="46"/>
      <c r="N13" s="49" t="s">
        <v>494</v>
      </c>
      <c r="O13" s="49"/>
      <c r="P13" s="49"/>
      <c r="S13" s="49"/>
      <c r="T13" s="49"/>
      <c r="U13" s="49"/>
      <c r="V13" s="49"/>
      <c r="W13" s="49"/>
    </row>
    <row r="14" spans="1:26">
      <c r="B14" s="46" t="s">
        <v>485</v>
      </c>
      <c r="C14" s="46" t="s">
        <v>486</v>
      </c>
      <c r="D14" s="46" t="s">
        <v>203</v>
      </c>
      <c r="E14" s="47"/>
      <c r="F14" s="47"/>
      <c r="G14" s="46"/>
      <c r="H14" s="46"/>
      <c r="I14" s="47"/>
      <c r="J14" s="47"/>
      <c r="K14" s="47"/>
      <c r="L14" s="46" t="s">
        <v>204</v>
      </c>
      <c r="M14" s="46"/>
      <c r="N14" s="49" t="s">
        <v>495</v>
      </c>
      <c r="O14" s="49"/>
      <c r="P14" s="49"/>
      <c r="S14" s="49"/>
      <c r="T14" s="49"/>
      <c r="U14" s="49"/>
      <c r="V14" s="49"/>
      <c r="W14" s="49"/>
    </row>
    <row r="15" spans="1:26" ht="63">
      <c r="B15" s="46" t="s">
        <v>487</v>
      </c>
      <c r="C15" s="46" t="s">
        <v>488</v>
      </c>
      <c r="D15" s="46" t="s">
        <v>13</v>
      </c>
      <c r="E15" s="47">
        <v>50</v>
      </c>
      <c r="F15" s="47"/>
      <c r="G15" s="46"/>
      <c r="H15" s="46"/>
      <c r="I15" s="47"/>
      <c r="J15" s="47"/>
      <c r="K15" s="47"/>
      <c r="L15" s="46" t="s">
        <v>434</v>
      </c>
      <c r="M15" s="46"/>
      <c r="N15" s="48"/>
      <c r="O15" s="48" t="s">
        <v>503</v>
      </c>
      <c r="P15" s="49"/>
      <c r="S15" s="49"/>
      <c r="T15" s="49"/>
      <c r="U15" s="49"/>
      <c r="V15" s="49"/>
      <c r="W15" s="49"/>
    </row>
    <row r="16" spans="1:26" ht="88.2">
      <c r="B16" s="46" t="s">
        <v>489</v>
      </c>
      <c r="C16" s="46" t="s">
        <v>490</v>
      </c>
      <c r="D16" s="135" t="s">
        <v>13</v>
      </c>
      <c r="E16" s="47" t="s">
        <v>48</v>
      </c>
      <c r="F16" s="47"/>
      <c r="G16" s="46"/>
      <c r="H16" s="46"/>
      <c r="I16" s="47"/>
      <c r="J16" s="47"/>
      <c r="K16" s="47"/>
      <c r="L16" s="46" t="s">
        <v>491</v>
      </c>
      <c r="M16" s="46"/>
      <c r="N16" s="49" t="s">
        <v>499</v>
      </c>
      <c r="O16" s="48"/>
      <c r="P16" s="48" t="s">
        <v>496</v>
      </c>
      <c r="S16" s="49"/>
      <c r="T16" s="49"/>
      <c r="U16" s="49"/>
      <c r="V16" s="49"/>
      <c r="W16" s="49"/>
    </row>
    <row r="17" spans="2:23">
      <c r="B17" s="46" t="s">
        <v>243</v>
      </c>
      <c r="C17" s="46" t="s">
        <v>244</v>
      </c>
      <c r="D17" s="46" t="s">
        <v>13</v>
      </c>
      <c r="E17" s="47">
        <v>20</v>
      </c>
      <c r="F17" s="47"/>
      <c r="G17" s="46"/>
      <c r="H17" s="46"/>
      <c r="I17" s="47"/>
      <c r="J17" s="47"/>
      <c r="K17" s="47"/>
      <c r="L17" s="46" t="s">
        <v>245</v>
      </c>
      <c r="M17" s="46"/>
      <c r="N17" s="49" t="s">
        <v>243</v>
      </c>
      <c r="O17" s="49"/>
      <c r="P17" s="49"/>
      <c r="S17" s="49"/>
      <c r="T17" s="49"/>
      <c r="U17" s="49"/>
      <c r="V17" s="49"/>
      <c r="W17" s="49"/>
    </row>
    <row r="18" spans="2:23">
      <c r="B18" s="46" t="s">
        <v>246</v>
      </c>
      <c r="C18" s="46" t="s">
        <v>247</v>
      </c>
      <c r="D18" s="46" t="s">
        <v>13</v>
      </c>
      <c r="E18" s="47">
        <v>20</v>
      </c>
      <c r="F18" s="47"/>
      <c r="G18" s="46"/>
      <c r="H18" s="46"/>
      <c r="I18" s="47"/>
      <c r="J18" s="47"/>
      <c r="K18" s="47"/>
      <c r="L18" s="46" t="s">
        <v>242</v>
      </c>
      <c r="M18" s="46"/>
      <c r="N18" s="49" t="s">
        <v>246</v>
      </c>
      <c r="O18" s="49"/>
      <c r="P18" s="49"/>
      <c r="S18" s="49"/>
      <c r="T18" s="49"/>
      <c r="U18" s="49"/>
      <c r="V18" s="49"/>
      <c r="W18" s="49"/>
    </row>
    <row r="19" spans="2:23" s="44" customFormat="1">
      <c r="B19" s="85" t="s">
        <v>1581</v>
      </c>
      <c r="C19" s="85" t="s">
        <v>1583</v>
      </c>
      <c r="D19" s="85" t="s">
        <v>13</v>
      </c>
      <c r="E19" s="84">
        <v>20</v>
      </c>
      <c r="F19" s="84"/>
      <c r="G19" s="85"/>
      <c r="H19" s="85"/>
      <c r="I19" s="84"/>
      <c r="J19" s="84"/>
      <c r="K19" s="84"/>
      <c r="L19" s="85" t="s">
        <v>245</v>
      </c>
      <c r="M19" s="85"/>
      <c r="N19" s="85" t="s">
        <v>1581</v>
      </c>
      <c r="O19" s="87"/>
      <c r="P19" s="49"/>
      <c r="S19" s="49"/>
      <c r="T19" s="49"/>
      <c r="U19" s="49"/>
      <c r="V19" s="49"/>
      <c r="W19" s="49"/>
    </row>
    <row r="20" spans="2:23" s="44" customFormat="1">
      <c r="B20" s="85" t="s">
        <v>1582</v>
      </c>
      <c r="C20" s="85" t="s">
        <v>1584</v>
      </c>
      <c r="D20" s="85" t="s">
        <v>13</v>
      </c>
      <c r="E20" s="84">
        <v>20</v>
      </c>
      <c r="F20" s="84"/>
      <c r="G20" s="85"/>
      <c r="H20" s="85"/>
      <c r="I20" s="84"/>
      <c r="J20" s="84"/>
      <c r="K20" s="84"/>
      <c r="L20" s="85" t="s">
        <v>242</v>
      </c>
      <c r="M20" s="85"/>
      <c r="N20" s="85" t="s">
        <v>1582</v>
      </c>
      <c r="O20" s="87"/>
      <c r="P20" s="49"/>
      <c r="S20" s="49"/>
      <c r="T20" s="49"/>
      <c r="U20" s="49"/>
      <c r="V20" s="49"/>
      <c r="W20" s="49"/>
    </row>
    <row r="21" spans="2:23" ht="25.2">
      <c r="B21" s="46" t="s">
        <v>252</v>
      </c>
      <c r="C21" s="46" t="s">
        <v>253</v>
      </c>
      <c r="D21" s="46" t="s">
        <v>193</v>
      </c>
      <c r="E21" s="47">
        <v>100</v>
      </c>
      <c r="F21" s="47"/>
      <c r="G21" s="46"/>
      <c r="H21" s="46"/>
      <c r="I21" s="47"/>
      <c r="J21" s="47"/>
      <c r="K21" s="47"/>
      <c r="L21" s="85" t="s">
        <v>1600</v>
      </c>
      <c r="M21" s="46"/>
      <c r="N21" s="86" t="s">
        <v>1596</v>
      </c>
      <c r="O21" s="138" t="s">
        <v>500</v>
      </c>
      <c r="P21" s="137" t="s">
        <v>504</v>
      </c>
      <c r="S21" s="49"/>
      <c r="T21" s="49"/>
      <c r="U21" s="49"/>
      <c r="V21" s="49"/>
      <c r="W21" s="49"/>
    </row>
    <row r="22" spans="2:23" ht="25.2">
      <c r="B22" s="46" t="s">
        <v>255</v>
      </c>
      <c r="C22" s="46" t="s">
        <v>256</v>
      </c>
      <c r="D22" s="46" t="s">
        <v>193</v>
      </c>
      <c r="E22" s="47">
        <v>100</v>
      </c>
      <c r="F22" s="47"/>
      <c r="G22" s="46"/>
      <c r="H22" s="46"/>
      <c r="I22" s="47"/>
      <c r="J22" s="47"/>
      <c r="K22" s="47"/>
      <c r="L22" s="46" t="s">
        <v>254</v>
      </c>
      <c r="M22" s="46"/>
      <c r="N22" s="48" t="s">
        <v>502</v>
      </c>
      <c r="O22" s="48" t="s">
        <v>501</v>
      </c>
      <c r="P22" s="49"/>
      <c r="S22" s="49"/>
      <c r="T22" s="49"/>
      <c r="U22" s="49"/>
      <c r="V22" s="49"/>
      <c r="W22" s="49"/>
    </row>
    <row r="23" spans="2:23">
      <c r="B23" s="46" t="s">
        <v>257</v>
      </c>
      <c r="C23" s="46" t="s">
        <v>258</v>
      </c>
      <c r="D23" s="46" t="s">
        <v>193</v>
      </c>
      <c r="E23" s="47">
        <v>100</v>
      </c>
      <c r="F23" s="47"/>
      <c r="G23" s="46"/>
      <c r="H23" s="46"/>
      <c r="I23" s="47"/>
      <c r="J23" s="47"/>
      <c r="K23" s="47"/>
      <c r="L23" s="46" t="s">
        <v>254</v>
      </c>
      <c r="M23" s="46"/>
      <c r="N23" s="49"/>
      <c r="O23" s="49"/>
      <c r="P23" s="49"/>
      <c r="S23" s="49"/>
      <c r="T23" s="49"/>
      <c r="U23" s="49"/>
      <c r="V23" s="49"/>
      <c r="W23" s="49"/>
    </row>
    <row r="24" spans="2:23">
      <c r="B24" s="46" t="s">
        <v>259</v>
      </c>
      <c r="C24" s="46" t="s">
        <v>260</v>
      </c>
      <c r="D24" s="46" t="s">
        <v>193</v>
      </c>
      <c r="E24" s="47">
        <v>100</v>
      </c>
      <c r="F24" s="47"/>
      <c r="G24" s="46"/>
      <c r="H24" s="46"/>
      <c r="I24" s="47"/>
      <c r="J24" s="47"/>
      <c r="K24" s="47"/>
      <c r="L24" s="46" t="s">
        <v>254</v>
      </c>
      <c r="M24" s="46"/>
      <c r="N24" s="49"/>
      <c r="O24" s="49"/>
      <c r="P24" s="49"/>
      <c r="S24" s="49"/>
      <c r="T24" s="49"/>
      <c r="U24" s="49"/>
      <c r="V24" s="49"/>
      <c r="W24" s="49"/>
    </row>
    <row r="25" spans="2:23">
      <c r="B25" s="46" t="s">
        <v>261</v>
      </c>
      <c r="C25" s="46" t="s">
        <v>262</v>
      </c>
      <c r="D25" s="46" t="s">
        <v>193</v>
      </c>
      <c r="E25" s="47">
        <v>100</v>
      </c>
      <c r="F25" s="47"/>
      <c r="G25" s="46"/>
      <c r="H25" s="46"/>
      <c r="I25" s="47"/>
      <c r="J25" s="47"/>
      <c r="K25" s="47"/>
      <c r="L25" s="46" t="s">
        <v>254</v>
      </c>
      <c r="M25" s="46"/>
      <c r="N25" s="49"/>
      <c r="O25" s="49"/>
      <c r="P25" s="49"/>
      <c r="S25" s="49"/>
      <c r="T25" s="49"/>
      <c r="U25" s="49"/>
      <c r="V25" s="49"/>
      <c r="W25" s="49"/>
    </row>
    <row r="26" spans="2:23" s="59" customFormat="1">
      <c r="B26" s="55" t="s">
        <v>411</v>
      </c>
      <c r="C26" s="55" t="s">
        <v>404</v>
      </c>
      <c r="D26" s="55" t="s">
        <v>203</v>
      </c>
      <c r="E26" s="56">
        <v>16</v>
      </c>
      <c r="F26" s="56"/>
      <c r="G26" s="55"/>
      <c r="H26" s="55"/>
      <c r="I26" s="56"/>
      <c r="J26" s="56"/>
      <c r="K26" s="56"/>
      <c r="L26" s="55" t="s">
        <v>204</v>
      </c>
      <c r="M26" s="55"/>
      <c r="N26" s="57"/>
      <c r="O26" s="58"/>
      <c r="P26" s="57"/>
      <c r="S26" s="61"/>
      <c r="T26" s="62"/>
      <c r="U26" s="60"/>
      <c r="V26" s="57"/>
      <c r="W26" s="57"/>
    </row>
    <row r="27" spans="2:23" s="59" customFormat="1">
      <c r="B27" s="55" t="s">
        <v>412</v>
      </c>
      <c r="C27" s="55" t="s">
        <v>405</v>
      </c>
      <c r="D27" s="55" t="s">
        <v>13</v>
      </c>
      <c r="E27" s="56">
        <v>50</v>
      </c>
      <c r="F27" s="56"/>
      <c r="G27" s="55"/>
      <c r="H27" s="55"/>
      <c r="I27" s="56"/>
      <c r="J27" s="56"/>
      <c r="K27" s="56"/>
      <c r="L27" s="55" t="s">
        <v>204</v>
      </c>
      <c r="M27" s="55"/>
      <c r="N27" s="57"/>
      <c r="O27" s="58"/>
      <c r="P27" s="57"/>
      <c r="S27" s="61"/>
      <c r="T27" s="62"/>
      <c r="U27" s="60"/>
      <c r="V27" s="57"/>
      <c r="W27" s="57"/>
    </row>
    <row r="28" spans="2:23" s="59" customFormat="1">
      <c r="B28" s="55" t="s">
        <v>413</v>
      </c>
      <c r="C28" s="55" t="s">
        <v>406</v>
      </c>
      <c r="D28" s="55" t="s">
        <v>13</v>
      </c>
      <c r="E28" s="56">
        <v>10</v>
      </c>
      <c r="F28" s="56"/>
      <c r="G28" s="55"/>
      <c r="H28" s="55"/>
      <c r="I28" s="56"/>
      <c r="J28" s="56"/>
      <c r="K28" s="56"/>
      <c r="L28" s="55" t="s">
        <v>204</v>
      </c>
      <c r="M28" s="55"/>
      <c r="N28" s="57"/>
      <c r="O28" s="58"/>
      <c r="P28" s="57"/>
      <c r="S28" s="61"/>
      <c r="T28" s="62"/>
      <c r="U28" s="60"/>
      <c r="V28" s="57"/>
      <c r="W28" s="57"/>
    </row>
    <row r="29" spans="2:23" s="59" customFormat="1">
      <c r="B29" s="55" t="s">
        <v>414</v>
      </c>
      <c r="C29" s="55" t="s">
        <v>407</v>
      </c>
      <c r="D29" s="55" t="s">
        <v>13</v>
      </c>
      <c r="E29" s="56">
        <v>10</v>
      </c>
      <c r="F29" s="56"/>
      <c r="G29" s="55"/>
      <c r="H29" s="55"/>
      <c r="I29" s="56"/>
      <c r="J29" s="56"/>
      <c r="K29" s="56"/>
      <c r="L29" s="55" t="s">
        <v>204</v>
      </c>
      <c r="M29" s="55"/>
      <c r="N29" s="57"/>
      <c r="O29" s="58"/>
      <c r="P29" s="57"/>
      <c r="S29" s="61"/>
      <c r="T29" s="62"/>
      <c r="U29" s="60"/>
      <c r="V29" s="57"/>
      <c r="W29" s="57"/>
    </row>
    <row r="30" spans="2:23" s="59" customFormat="1">
      <c r="B30" s="55" t="s">
        <v>415</v>
      </c>
      <c r="C30" s="55" t="s">
        <v>408</v>
      </c>
      <c r="D30" s="55" t="s">
        <v>13</v>
      </c>
      <c r="E30" s="56">
        <v>50</v>
      </c>
      <c r="F30" s="56"/>
      <c r="G30" s="55"/>
      <c r="H30" s="55"/>
      <c r="I30" s="56"/>
      <c r="J30" s="56"/>
      <c r="K30" s="56"/>
      <c r="L30" s="55" t="s">
        <v>204</v>
      </c>
      <c r="M30" s="55"/>
      <c r="N30" s="57"/>
      <c r="O30" s="58"/>
      <c r="P30" s="57"/>
      <c r="S30" s="61"/>
      <c r="T30" s="62"/>
      <c r="U30" s="60"/>
      <c r="V30" s="57"/>
      <c r="W30" s="57"/>
    </row>
    <row r="31" spans="2:23" s="59" customFormat="1">
      <c r="B31" s="55" t="s">
        <v>416</v>
      </c>
      <c r="C31" s="55" t="s">
        <v>409</v>
      </c>
      <c r="D31" s="55" t="s">
        <v>13</v>
      </c>
      <c r="E31" s="56">
        <v>20</v>
      </c>
      <c r="F31" s="56"/>
      <c r="G31" s="55"/>
      <c r="H31" s="55"/>
      <c r="I31" s="56"/>
      <c r="J31" s="56"/>
      <c r="K31" s="56"/>
      <c r="L31" s="55" t="s">
        <v>204</v>
      </c>
      <c r="M31" s="55"/>
      <c r="N31" s="57"/>
      <c r="O31" s="58"/>
      <c r="P31" s="57"/>
      <c r="S31" s="61"/>
      <c r="T31" s="62"/>
      <c r="U31" s="60"/>
      <c r="V31" s="57"/>
      <c r="W31" s="57"/>
    </row>
    <row r="32" spans="2:23" s="59" customFormat="1">
      <c r="B32" s="55" t="s">
        <v>417</v>
      </c>
      <c r="C32" s="55" t="s">
        <v>410</v>
      </c>
      <c r="D32" s="55" t="s">
        <v>13</v>
      </c>
      <c r="E32" s="56">
        <v>20</v>
      </c>
      <c r="F32" s="56"/>
      <c r="G32" s="55"/>
      <c r="H32" s="55"/>
      <c r="I32" s="56"/>
      <c r="J32" s="56"/>
      <c r="K32" s="56"/>
      <c r="L32" s="55" t="s">
        <v>204</v>
      </c>
      <c r="M32" s="55"/>
      <c r="N32" s="57"/>
      <c r="O32" s="58"/>
      <c r="P32" s="57"/>
      <c r="S32" s="61"/>
      <c r="T32" s="62"/>
      <c r="U32" s="60"/>
      <c r="V32" s="57"/>
      <c r="W32" s="57"/>
    </row>
    <row r="33" spans="2:23">
      <c r="B33" s="46" t="s">
        <v>43</v>
      </c>
      <c r="C33" s="46" t="s">
        <v>16</v>
      </c>
      <c r="D33" s="46" t="s">
        <v>17</v>
      </c>
      <c r="E33" s="47">
        <v>8</v>
      </c>
      <c r="F33" s="47" t="s">
        <v>86</v>
      </c>
      <c r="G33" s="54" t="s">
        <v>135</v>
      </c>
      <c r="H33" s="46"/>
      <c r="I33" s="47"/>
      <c r="J33" s="47"/>
      <c r="K33" s="47"/>
      <c r="L33" s="46" t="s">
        <v>82</v>
      </c>
      <c r="M33" s="46" t="s">
        <v>14</v>
      </c>
      <c r="N33" s="49"/>
      <c r="O33" s="49"/>
      <c r="P33" s="49"/>
      <c r="S33" s="49"/>
      <c r="T33" s="49"/>
      <c r="U33" s="49"/>
      <c r="V33" s="49"/>
      <c r="W33" s="49"/>
    </row>
    <row r="34" spans="2:23">
      <c r="B34" s="46" t="s">
        <v>44</v>
      </c>
      <c r="C34" s="46" t="s">
        <v>18</v>
      </c>
      <c r="D34" s="46" t="s">
        <v>17</v>
      </c>
      <c r="E34" s="47">
        <v>8</v>
      </c>
      <c r="F34" s="47" t="s">
        <v>86</v>
      </c>
      <c r="G34" s="54" t="s">
        <v>135</v>
      </c>
      <c r="H34" s="46"/>
      <c r="I34" s="47"/>
      <c r="J34" s="47"/>
      <c r="K34" s="47"/>
      <c r="L34" s="46" t="s">
        <v>82</v>
      </c>
      <c r="M34" s="46" t="s">
        <v>14</v>
      </c>
      <c r="N34" s="49"/>
      <c r="O34" s="49"/>
      <c r="P34" s="49"/>
      <c r="S34" s="49"/>
      <c r="T34" s="49"/>
      <c r="U34" s="49"/>
      <c r="V34" s="49"/>
      <c r="W34" s="49"/>
    </row>
    <row r="35" spans="2:23">
      <c r="B35" s="46" t="s">
        <v>19</v>
      </c>
      <c r="C35" s="46" t="s">
        <v>20</v>
      </c>
      <c r="D35" s="135" t="s">
        <v>13</v>
      </c>
      <c r="E35" s="47">
        <v>40</v>
      </c>
      <c r="F35" s="47" t="s">
        <v>86</v>
      </c>
      <c r="G35" s="46"/>
      <c r="H35" s="46"/>
      <c r="I35" s="47"/>
      <c r="J35" s="47"/>
      <c r="K35" s="47"/>
      <c r="L35" s="46" t="s">
        <v>78</v>
      </c>
      <c r="M35" s="46" t="s">
        <v>14</v>
      </c>
      <c r="N35" s="49"/>
      <c r="O35" s="49"/>
      <c r="P35" s="49"/>
      <c r="S35" s="49"/>
      <c r="T35" s="49"/>
      <c r="U35" s="49"/>
      <c r="V35" s="49"/>
      <c r="W35" s="49"/>
    </row>
    <row r="36" spans="2:23">
      <c r="B36" s="46" t="s">
        <v>21</v>
      </c>
      <c r="C36" s="46" t="s">
        <v>22</v>
      </c>
      <c r="D36" s="135" t="s">
        <v>13</v>
      </c>
      <c r="E36" s="47">
        <v>40</v>
      </c>
      <c r="F36" s="47" t="s">
        <v>86</v>
      </c>
      <c r="G36" s="46"/>
      <c r="H36" s="46"/>
      <c r="I36" s="47"/>
      <c r="J36" s="47"/>
      <c r="K36" s="47"/>
      <c r="L36" s="46" t="s">
        <v>78</v>
      </c>
      <c r="M36" s="46" t="s">
        <v>14</v>
      </c>
      <c r="N36" s="49"/>
      <c r="O36" s="49"/>
      <c r="P36" s="49"/>
      <c r="S36" s="49"/>
      <c r="T36" s="49"/>
      <c r="U36" s="49"/>
      <c r="V36" s="49"/>
      <c r="W36" s="49"/>
    </row>
    <row r="37" spans="2:23" ht="25.2">
      <c r="B37" s="46" t="s">
        <v>45</v>
      </c>
      <c r="C37" s="46" t="s">
        <v>46</v>
      </c>
      <c r="D37" s="46" t="s">
        <v>13</v>
      </c>
      <c r="E37" s="47">
        <v>10</v>
      </c>
      <c r="F37" s="47" t="s">
        <v>86</v>
      </c>
      <c r="G37" s="46"/>
      <c r="H37" s="46"/>
      <c r="I37" s="47"/>
      <c r="J37" s="47"/>
      <c r="K37" s="47"/>
      <c r="L37" s="46" t="s">
        <v>83</v>
      </c>
      <c r="M37" s="46" t="s">
        <v>14</v>
      </c>
      <c r="N37" s="49" t="s">
        <v>62</v>
      </c>
      <c r="O37" s="48" t="s">
        <v>63</v>
      </c>
      <c r="P37" s="49"/>
      <c r="S37" s="49"/>
      <c r="T37" s="49"/>
      <c r="U37" s="49"/>
      <c r="V37" s="49"/>
      <c r="W37" s="49"/>
    </row>
  </sheetData>
  <mergeCells count="4">
    <mergeCell ref="D5:F5"/>
    <mergeCell ref="H5:P5"/>
    <mergeCell ref="D6:F6"/>
    <mergeCell ref="H6:P6"/>
  </mergeCells>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3289-0930-4CCF-89A4-BF7699558FDC}">
  <sheetPr>
    <tabColor theme="7" tint="0.79998168889431442"/>
  </sheetPr>
  <dimension ref="A2:AC125"/>
  <sheetViews>
    <sheetView showGridLines="0" workbookViewId="0">
      <selection activeCell="P114" sqref="P114"/>
    </sheetView>
  </sheetViews>
  <sheetFormatPr defaultRowHeight="15"/>
  <cols>
    <col min="1" max="1" width="2.54296875" customWidth="1"/>
    <col min="2" max="3" width="22.81640625" customWidth="1"/>
    <col min="4" max="4" width="7.1796875" bestFit="1" customWidth="1"/>
    <col min="5" max="5" width="5.1796875" customWidth="1"/>
    <col min="6" max="6" width="4.453125" customWidth="1"/>
    <col min="7" max="7" width="15.36328125" customWidth="1"/>
    <col min="8" max="8" width="4.453125" customWidth="1"/>
    <col min="9" max="9" width="3.08984375" bestFit="1" customWidth="1"/>
    <col min="10" max="10" width="3.1796875" bestFit="1" customWidth="1"/>
    <col min="11" max="11" width="3" bestFit="1" customWidth="1"/>
    <col min="12" max="12" width="12" bestFit="1" customWidth="1"/>
    <col min="13" max="13" width="4.453125" customWidth="1"/>
    <col min="14" max="14" width="30.453125" customWidth="1"/>
    <col min="15" max="15" width="27.36328125" customWidth="1"/>
    <col min="16" max="16" width="33.36328125" customWidth="1"/>
    <col min="17" max="17" width="2.36328125" customWidth="1"/>
    <col min="18" max="19" width="6.54296875" customWidth="1"/>
    <col min="20" max="20" width="15.1796875" customWidth="1"/>
    <col min="22" max="26" width="20.6328125" customWidth="1"/>
  </cols>
  <sheetData>
    <row r="2" spans="1:29">
      <c r="A2" s="6"/>
      <c r="B2" s="7" t="s">
        <v>38</v>
      </c>
      <c r="C2" s="6"/>
      <c r="D2" s="6"/>
      <c r="E2" s="6"/>
      <c r="F2" s="6"/>
      <c r="G2" s="6"/>
      <c r="H2" s="6"/>
      <c r="I2" s="6"/>
      <c r="J2" s="6"/>
      <c r="K2" s="6"/>
      <c r="L2" s="6"/>
      <c r="M2" s="6"/>
      <c r="N2" s="6"/>
      <c r="O2" s="6"/>
      <c r="P2" s="6"/>
      <c r="Q2" s="6"/>
      <c r="R2" s="6"/>
      <c r="S2" s="6"/>
      <c r="T2" s="6"/>
      <c r="U2" s="6"/>
      <c r="V2" s="6"/>
      <c r="W2" s="6"/>
      <c r="X2" s="6"/>
      <c r="Y2" s="6"/>
      <c r="Z2" s="6"/>
      <c r="AA2" s="6"/>
      <c r="AB2" s="6"/>
      <c r="AC2" s="6"/>
    </row>
    <row r="3" spans="1:29" ht="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5" spans="1:29">
      <c r="B5" s="8" t="s">
        <v>30</v>
      </c>
      <c r="C5" s="8" t="s">
        <v>31</v>
      </c>
      <c r="D5" s="234" t="s">
        <v>37</v>
      </c>
      <c r="E5" s="235"/>
      <c r="F5" s="236"/>
      <c r="G5" s="8" t="s">
        <v>74</v>
      </c>
      <c r="H5" s="234" t="s">
        <v>85</v>
      </c>
      <c r="I5" s="235"/>
      <c r="J5" s="235"/>
      <c r="K5" s="235"/>
      <c r="L5" s="235"/>
      <c r="M5" s="235"/>
      <c r="N5" s="235"/>
      <c r="O5" s="235"/>
      <c r="P5" s="236"/>
      <c r="R5" t="s">
        <v>1859</v>
      </c>
    </row>
    <row r="6" spans="1:29">
      <c r="B6" s="2" t="s">
        <v>1604</v>
      </c>
      <c r="C6" s="2" t="s">
        <v>1605</v>
      </c>
      <c r="D6" s="237" t="s">
        <v>94</v>
      </c>
      <c r="E6" s="238"/>
      <c r="F6" s="239"/>
      <c r="G6" s="45" t="s">
        <v>75</v>
      </c>
      <c r="H6" s="240" t="s">
        <v>1606</v>
      </c>
      <c r="I6" s="241"/>
      <c r="J6" s="241"/>
      <c r="K6" s="241"/>
      <c r="L6" s="241"/>
      <c r="M6" s="241"/>
      <c r="N6" s="241"/>
      <c r="O6" s="241"/>
      <c r="P6" s="242"/>
      <c r="R6" t="s">
        <v>1862</v>
      </c>
      <c r="V6" t="s">
        <v>108</v>
      </c>
    </row>
    <row r="7" spans="1:29">
      <c r="R7" t="s">
        <v>1863</v>
      </c>
    </row>
    <row r="8" spans="1:29">
      <c r="B8" s="17" t="s">
        <v>32</v>
      </c>
      <c r="C8" s="17" t="s">
        <v>33</v>
      </c>
      <c r="D8" s="17" t="s">
        <v>34</v>
      </c>
      <c r="E8" s="109" t="s">
        <v>10</v>
      </c>
      <c r="F8" s="110" t="s">
        <v>23</v>
      </c>
      <c r="G8" s="110" t="s">
        <v>24</v>
      </c>
      <c r="H8" s="110" t="s">
        <v>25</v>
      </c>
      <c r="I8" s="110" t="s">
        <v>26</v>
      </c>
      <c r="J8" s="110" t="s">
        <v>27</v>
      </c>
      <c r="K8" s="110" t="s">
        <v>28</v>
      </c>
      <c r="L8" s="110" t="s">
        <v>29</v>
      </c>
      <c r="M8" s="110" t="s">
        <v>11</v>
      </c>
      <c r="N8" s="17" t="s">
        <v>35</v>
      </c>
      <c r="O8" s="17" t="s">
        <v>36</v>
      </c>
      <c r="P8" s="17" t="s">
        <v>12</v>
      </c>
      <c r="R8" s="88" t="s">
        <v>1858</v>
      </c>
      <c r="S8" s="88" t="s">
        <v>1866</v>
      </c>
      <c r="T8" s="88" t="s">
        <v>155</v>
      </c>
      <c r="V8" s="8" t="s">
        <v>107</v>
      </c>
      <c r="W8" s="8" t="s">
        <v>107</v>
      </c>
      <c r="X8" s="8" t="s">
        <v>107</v>
      </c>
      <c r="Y8" s="8" t="s">
        <v>107</v>
      </c>
      <c r="Z8" s="8" t="s">
        <v>107</v>
      </c>
    </row>
    <row r="9" spans="1:29" ht="25.2">
      <c r="B9" s="46" t="s">
        <v>1607</v>
      </c>
      <c r="C9" s="46" t="s">
        <v>422</v>
      </c>
      <c r="D9" s="46" t="s">
        <v>64</v>
      </c>
      <c r="E9" s="47"/>
      <c r="F9" s="47"/>
      <c r="G9" s="46" t="s">
        <v>1790</v>
      </c>
      <c r="H9" s="46"/>
      <c r="I9" s="47" t="s">
        <v>14</v>
      </c>
      <c r="J9" s="47"/>
      <c r="K9" s="47"/>
      <c r="L9" s="46"/>
      <c r="M9" s="46" t="s">
        <v>14</v>
      </c>
      <c r="N9" s="48" t="s">
        <v>61</v>
      </c>
      <c r="O9" s="49"/>
      <c r="P9" s="49"/>
      <c r="R9" s="162" t="s">
        <v>136</v>
      </c>
      <c r="S9" s="162" t="s">
        <v>136</v>
      </c>
      <c r="T9" s="159"/>
      <c r="V9" s="12"/>
      <c r="W9" s="12"/>
      <c r="X9" s="12"/>
      <c r="Y9" s="12"/>
      <c r="Z9" s="12"/>
    </row>
    <row r="10" spans="1:29">
      <c r="B10" s="46" t="s">
        <v>1608</v>
      </c>
      <c r="C10" s="46" t="s">
        <v>176</v>
      </c>
      <c r="D10" s="46" t="s">
        <v>13</v>
      </c>
      <c r="E10" s="47">
        <v>40</v>
      </c>
      <c r="F10" s="47"/>
      <c r="G10" s="46"/>
      <c r="H10" s="46"/>
      <c r="I10" s="47"/>
      <c r="J10" s="47" t="s">
        <v>14</v>
      </c>
      <c r="K10" s="47"/>
      <c r="L10" s="46" t="s">
        <v>1791</v>
      </c>
      <c r="M10" s="46" t="s">
        <v>14</v>
      </c>
      <c r="N10" s="49" t="s">
        <v>1796</v>
      </c>
      <c r="O10" s="49"/>
      <c r="P10" s="49"/>
      <c r="R10" s="162" t="s">
        <v>136</v>
      </c>
      <c r="S10" s="162" t="s">
        <v>136</v>
      </c>
      <c r="T10" s="159"/>
      <c r="V10" s="12"/>
      <c r="W10" s="12"/>
      <c r="X10" s="12"/>
      <c r="Y10" s="12"/>
      <c r="Z10" s="12"/>
    </row>
    <row r="11" spans="1:29">
      <c r="B11" s="46" t="s">
        <v>41</v>
      </c>
      <c r="C11" s="46" t="s">
        <v>42</v>
      </c>
      <c r="D11" s="46" t="s">
        <v>13</v>
      </c>
      <c r="E11" s="47">
        <v>8</v>
      </c>
      <c r="F11" s="47"/>
      <c r="G11" s="46"/>
      <c r="H11" s="46"/>
      <c r="I11" s="47"/>
      <c r="J11" s="47"/>
      <c r="K11" s="47"/>
      <c r="L11" s="46" t="s">
        <v>1792</v>
      </c>
      <c r="M11" s="46" t="s">
        <v>14</v>
      </c>
      <c r="N11" s="49"/>
      <c r="O11" s="48"/>
      <c r="P11" s="49"/>
      <c r="R11" s="162" t="s">
        <v>136</v>
      </c>
      <c r="S11" s="162" t="s">
        <v>136</v>
      </c>
      <c r="T11" s="159"/>
      <c r="V11" s="12"/>
      <c r="W11" s="12"/>
      <c r="X11" s="12"/>
      <c r="Y11" s="12"/>
      <c r="Z11" s="12"/>
    </row>
    <row r="12" spans="1:29">
      <c r="B12" s="46" t="s">
        <v>1609</v>
      </c>
      <c r="C12" s="46" t="s">
        <v>181</v>
      </c>
      <c r="D12" s="46" t="s">
        <v>13</v>
      </c>
      <c r="E12" s="47">
        <v>8</v>
      </c>
      <c r="F12" s="47"/>
      <c r="G12" s="46"/>
      <c r="H12" s="46"/>
      <c r="I12" s="47"/>
      <c r="J12" s="47"/>
      <c r="K12" s="47"/>
      <c r="L12" s="46" t="s">
        <v>1792</v>
      </c>
      <c r="M12" s="46" t="s">
        <v>14</v>
      </c>
      <c r="N12" s="49"/>
      <c r="O12" s="49"/>
      <c r="P12" s="49"/>
      <c r="R12" s="162" t="s">
        <v>136</v>
      </c>
      <c r="S12" s="162" t="s">
        <v>136</v>
      </c>
      <c r="T12" s="159"/>
      <c r="V12" s="12"/>
      <c r="W12" s="12"/>
      <c r="X12" s="12"/>
      <c r="Y12" s="12"/>
      <c r="Z12" s="12"/>
    </row>
    <row r="13" spans="1:29">
      <c r="B13" s="46" t="s">
        <v>1610</v>
      </c>
      <c r="C13" s="46" t="s">
        <v>531</v>
      </c>
      <c r="D13" s="46" t="s">
        <v>13</v>
      </c>
      <c r="E13" s="47">
        <v>40</v>
      </c>
      <c r="F13" s="47"/>
      <c r="G13" s="46"/>
      <c r="H13" s="46"/>
      <c r="I13" s="47"/>
      <c r="J13" s="47"/>
      <c r="K13" s="47" t="s">
        <v>14</v>
      </c>
      <c r="L13" s="46" t="s">
        <v>1791</v>
      </c>
      <c r="M13" s="46" t="s">
        <v>14</v>
      </c>
      <c r="N13" s="49" t="s">
        <v>1797</v>
      </c>
      <c r="O13" s="139"/>
      <c r="P13" s="49"/>
      <c r="R13" s="162" t="s">
        <v>136</v>
      </c>
      <c r="S13" s="162" t="s">
        <v>136</v>
      </c>
      <c r="T13" s="159"/>
      <c r="V13" s="12"/>
      <c r="W13" s="12"/>
      <c r="X13" s="12"/>
      <c r="Y13" s="12"/>
      <c r="Z13" s="12"/>
    </row>
    <row r="14" spans="1:29">
      <c r="B14" s="46" t="s">
        <v>1611</v>
      </c>
      <c r="C14" s="140" t="s">
        <v>1612</v>
      </c>
      <c r="D14" s="46" t="s">
        <v>13</v>
      </c>
      <c r="E14" s="47">
        <v>40</v>
      </c>
      <c r="F14" s="47"/>
      <c r="G14" s="46"/>
      <c r="H14" s="46"/>
      <c r="I14" s="47"/>
      <c r="J14" s="47"/>
      <c r="K14" s="47"/>
      <c r="L14" s="46" t="str">
        <f>"L("&amp;E14&amp;")Eq"</f>
        <v>L(40)Eq</v>
      </c>
      <c r="M14" s="85" t="s">
        <v>14</v>
      </c>
      <c r="N14" s="49"/>
      <c r="O14" s="48"/>
      <c r="P14" s="48"/>
      <c r="R14" s="162" t="s">
        <v>136</v>
      </c>
      <c r="S14" s="162" t="s">
        <v>136</v>
      </c>
      <c r="T14" s="159"/>
      <c r="V14" s="12"/>
      <c r="W14" s="12"/>
      <c r="X14" s="12"/>
      <c r="Y14" s="12"/>
      <c r="Z14" s="12"/>
    </row>
    <row r="15" spans="1:29">
      <c r="B15" s="46" t="s">
        <v>1613</v>
      </c>
      <c r="C15" s="46" t="s">
        <v>1614</v>
      </c>
      <c r="D15" s="46" t="s">
        <v>13</v>
      </c>
      <c r="E15" s="47">
        <v>40</v>
      </c>
      <c r="F15" s="47"/>
      <c r="G15" s="46"/>
      <c r="H15" s="46"/>
      <c r="I15" s="47"/>
      <c r="J15" s="47"/>
      <c r="K15" s="47"/>
      <c r="L15" s="46" t="str">
        <f t="shared" ref="L15:L25" si="0">"L("&amp;E15&amp;")Eq"</f>
        <v>L(40)Eq</v>
      </c>
      <c r="M15" s="46"/>
      <c r="N15" s="48"/>
      <c r="O15" s="49"/>
      <c r="P15" s="48"/>
      <c r="R15" s="162" t="s">
        <v>136</v>
      </c>
      <c r="S15" s="162" t="s">
        <v>136</v>
      </c>
      <c r="T15" s="159"/>
      <c r="V15" s="12"/>
      <c r="W15" s="12"/>
      <c r="X15" s="12"/>
      <c r="Y15" s="12"/>
      <c r="Z15" s="12"/>
    </row>
    <row r="16" spans="1:29">
      <c r="B16" s="46" t="s">
        <v>1615</v>
      </c>
      <c r="C16" s="46" t="s">
        <v>1616</v>
      </c>
      <c r="D16" s="46" t="s">
        <v>13</v>
      </c>
      <c r="E16" s="47">
        <v>100</v>
      </c>
      <c r="F16" s="47"/>
      <c r="G16" s="46"/>
      <c r="H16" s="46"/>
      <c r="I16" s="47"/>
      <c r="J16" s="47"/>
      <c r="K16" s="47"/>
      <c r="L16" s="46" t="str">
        <f t="shared" si="0"/>
        <v>L(100)Eq</v>
      </c>
      <c r="M16" s="46"/>
      <c r="N16" s="48"/>
      <c r="O16" s="49"/>
      <c r="P16" s="48"/>
      <c r="R16" s="162" t="s">
        <v>136</v>
      </c>
      <c r="S16" s="162" t="s">
        <v>136</v>
      </c>
      <c r="T16" s="159"/>
      <c r="V16" s="12"/>
      <c r="W16" s="12"/>
      <c r="X16" s="12"/>
      <c r="Y16" s="12"/>
      <c r="Z16" s="12"/>
    </row>
    <row r="17" spans="2:26">
      <c r="B17" s="46" t="s">
        <v>1617</v>
      </c>
      <c r="C17" s="46" t="s">
        <v>1618</v>
      </c>
      <c r="D17" s="46" t="s">
        <v>13</v>
      </c>
      <c r="E17" s="47">
        <v>40</v>
      </c>
      <c r="F17" s="47"/>
      <c r="G17" s="46"/>
      <c r="H17" s="46"/>
      <c r="I17" s="47"/>
      <c r="J17" s="47"/>
      <c r="K17" s="47"/>
      <c r="L17" s="46" t="str">
        <f t="shared" si="0"/>
        <v>L(40)Eq</v>
      </c>
      <c r="M17" s="46" t="s">
        <v>959</v>
      </c>
      <c r="N17" s="49" t="s">
        <v>1798</v>
      </c>
      <c r="O17" s="48"/>
      <c r="P17" s="49"/>
      <c r="R17" s="162" t="s">
        <v>136</v>
      </c>
      <c r="S17" s="162" t="s">
        <v>136</v>
      </c>
      <c r="T17" s="159"/>
      <c r="V17" s="12"/>
      <c r="W17" s="12"/>
      <c r="X17" s="12"/>
      <c r="Y17" s="12"/>
      <c r="Z17" s="12"/>
    </row>
    <row r="18" spans="2:26">
      <c r="B18" s="46" t="s">
        <v>1619</v>
      </c>
      <c r="C18" s="46" t="s">
        <v>1620</v>
      </c>
      <c r="D18" s="46" t="s">
        <v>13</v>
      </c>
      <c r="E18" s="47">
        <v>100</v>
      </c>
      <c r="F18" s="47"/>
      <c r="G18" s="46"/>
      <c r="H18" s="46"/>
      <c r="I18" s="47"/>
      <c r="J18" s="47"/>
      <c r="K18" s="47"/>
      <c r="L18" s="46" t="str">
        <f t="shared" si="0"/>
        <v>L(100)Eq</v>
      </c>
      <c r="M18" s="46"/>
      <c r="N18" s="48"/>
      <c r="O18" s="48"/>
      <c r="P18" s="49"/>
      <c r="R18" s="162" t="s">
        <v>136</v>
      </c>
      <c r="S18" s="162" t="s">
        <v>136</v>
      </c>
      <c r="T18" s="159"/>
      <c r="V18" s="12"/>
      <c r="W18" s="12"/>
      <c r="X18" s="12"/>
      <c r="Y18" s="12"/>
      <c r="Z18" s="12"/>
    </row>
    <row r="19" spans="2:26">
      <c r="B19" s="46" t="s">
        <v>1621</v>
      </c>
      <c r="C19" s="46" t="s">
        <v>1622</v>
      </c>
      <c r="D19" s="46" t="s">
        <v>13</v>
      </c>
      <c r="E19" s="47">
        <v>40</v>
      </c>
      <c r="F19" s="47"/>
      <c r="G19" s="46"/>
      <c r="H19" s="46"/>
      <c r="I19" s="47"/>
      <c r="J19" s="47"/>
      <c r="K19" s="47"/>
      <c r="L19" s="46" t="str">
        <f t="shared" si="0"/>
        <v>L(40)Eq</v>
      </c>
      <c r="M19" s="46"/>
      <c r="N19" s="48"/>
      <c r="O19" s="49"/>
      <c r="P19" s="49"/>
      <c r="R19" s="162" t="s">
        <v>136</v>
      </c>
      <c r="S19" s="162" t="s">
        <v>136</v>
      </c>
      <c r="T19" s="159"/>
      <c r="V19" s="12"/>
      <c r="W19" s="12"/>
      <c r="X19" s="12"/>
      <c r="Y19" s="12"/>
      <c r="Z19" s="12"/>
    </row>
    <row r="20" spans="2:26">
      <c r="B20" s="46" t="s">
        <v>1623</v>
      </c>
      <c r="C20" s="46" t="s">
        <v>1624</v>
      </c>
      <c r="D20" s="46" t="s">
        <v>13</v>
      </c>
      <c r="E20" s="47">
        <v>100</v>
      </c>
      <c r="F20" s="47"/>
      <c r="G20" s="46"/>
      <c r="H20" s="46"/>
      <c r="I20" s="47"/>
      <c r="J20" s="47"/>
      <c r="K20" s="47"/>
      <c r="L20" s="46" t="str">
        <f t="shared" si="0"/>
        <v>L(100)Eq</v>
      </c>
      <c r="M20" s="46"/>
      <c r="N20" s="48"/>
      <c r="O20" s="49"/>
      <c r="P20" s="49"/>
      <c r="R20" s="162" t="s">
        <v>136</v>
      </c>
      <c r="S20" s="162" t="s">
        <v>136</v>
      </c>
      <c r="T20" s="159"/>
      <c r="V20" s="12"/>
      <c r="W20" s="12"/>
      <c r="X20" s="12"/>
      <c r="Y20" s="12"/>
      <c r="Z20" s="12"/>
    </row>
    <row r="21" spans="2:26">
      <c r="B21" s="46" t="s">
        <v>1625</v>
      </c>
      <c r="C21" s="46" t="s">
        <v>1626</v>
      </c>
      <c r="D21" s="46" t="s">
        <v>13</v>
      </c>
      <c r="E21" s="47">
        <v>40</v>
      </c>
      <c r="F21" s="47"/>
      <c r="G21" s="54"/>
      <c r="H21" s="46"/>
      <c r="I21" s="47"/>
      <c r="J21" s="47"/>
      <c r="K21" s="47"/>
      <c r="L21" s="46" t="str">
        <f t="shared" si="0"/>
        <v>L(40)Eq</v>
      </c>
      <c r="M21" s="46"/>
      <c r="N21" s="49"/>
      <c r="O21" s="49"/>
      <c r="P21" s="49"/>
      <c r="R21" s="162" t="s">
        <v>136</v>
      </c>
      <c r="S21" s="162" t="s">
        <v>136</v>
      </c>
      <c r="T21" s="159"/>
      <c r="V21" s="12"/>
      <c r="W21" s="12"/>
      <c r="X21" s="12"/>
      <c r="Y21" s="12"/>
      <c r="Z21" s="12"/>
    </row>
    <row r="22" spans="2:26">
      <c r="B22" s="46" t="s">
        <v>1627</v>
      </c>
      <c r="C22" s="46" t="s">
        <v>1628</v>
      </c>
      <c r="D22" s="46" t="s">
        <v>13</v>
      </c>
      <c r="E22" s="47">
        <v>100</v>
      </c>
      <c r="F22" s="47"/>
      <c r="G22" s="54"/>
      <c r="H22" s="46"/>
      <c r="I22" s="47"/>
      <c r="J22" s="47"/>
      <c r="K22" s="47"/>
      <c r="L22" s="46" t="str">
        <f t="shared" si="0"/>
        <v>L(100)Eq</v>
      </c>
      <c r="M22" s="46"/>
      <c r="N22" s="49"/>
      <c r="O22" s="49"/>
      <c r="P22" s="49"/>
      <c r="R22" s="162" t="s">
        <v>136</v>
      </c>
      <c r="S22" s="162" t="s">
        <v>136</v>
      </c>
      <c r="T22" s="159"/>
      <c r="V22" s="12"/>
      <c r="W22" s="12"/>
      <c r="X22" s="12"/>
      <c r="Y22" s="12"/>
      <c r="Z22" s="12"/>
    </row>
    <row r="23" spans="2:26">
      <c r="B23" s="46" t="s">
        <v>1629</v>
      </c>
      <c r="C23" s="46" t="s">
        <v>1630</v>
      </c>
      <c r="D23" s="46" t="s">
        <v>13</v>
      </c>
      <c r="E23" s="47">
        <v>40</v>
      </c>
      <c r="F23" s="47"/>
      <c r="G23" s="46"/>
      <c r="H23" s="46"/>
      <c r="I23" s="47"/>
      <c r="J23" s="47"/>
      <c r="K23" s="47"/>
      <c r="L23" s="46" t="str">
        <f t="shared" si="0"/>
        <v>L(40)Eq</v>
      </c>
      <c r="M23" s="46"/>
      <c r="N23" s="49"/>
      <c r="O23" s="49"/>
      <c r="P23" s="49"/>
      <c r="R23" s="162" t="s">
        <v>136</v>
      </c>
      <c r="S23" s="162" t="s">
        <v>136</v>
      </c>
      <c r="T23" s="159"/>
      <c r="V23" s="12"/>
      <c r="W23" s="12"/>
      <c r="X23" s="12"/>
      <c r="Y23" s="12"/>
      <c r="Z23" s="12"/>
    </row>
    <row r="24" spans="2:26">
      <c r="B24" s="46" t="s">
        <v>1631</v>
      </c>
      <c r="C24" s="46" t="s">
        <v>1632</v>
      </c>
      <c r="D24" s="46" t="s">
        <v>13</v>
      </c>
      <c r="E24" s="47">
        <v>100</v>
      </c>
      <c r="F24" s="47"/>
      <c r="G24" s="46"/>
      <c r="H24" s="46"/>
      <c r="I24" s="47"/>
      <c r="J24" s="47"/>
      <c r="K24" s="47"/>
      <c r="L24" s="46" t="str">
        <f t="shared" si="0"/>
        <v>L(100)Eq</v>
      </c>
      <c r="M24" s="46"/>
      <c r="N24" s="49"/>
      <c r="O24" s="49"/>
      <c r="P24" s="49"/>
      <c r="R24" s="162" t="s">
        <v>136</v>
      </c>
      <c r="S24" s="162" t="s">
        <v>136</v>
      </c>
      <c r="T24" s="159"/>
      <c r="V24" s="12"/>
      <c r="W24" s="12"/>
      <c r="X24" s="12"/>
      <c r="Y24" s="12"/>
      <c r="Z24" s="12"/>
    </row>
    <row r="25" spans="2:26">
      <c r="B25" s="46" t="s">
        <v>1633</v>
      </c>
      <c r="C25" s="46" t="s">
        <v>1634</v>
      </c>
      <c r="D25" s="46" t="s">
        <v>13</v>
      </c>
      <c r="E25" s="47">
        <v>10</v>
      </c>
      <c r="F25" s="47"/>
      <c r="G25" s="46"/>
      <c r="H25" s="46"/>
      <c r="I25" s="47"/>
      <c r="J25" s="47"/>
      <c r="K25" s="47"/>
      <c r="L25" s="46" t="str">
        <f t="shared" si="0"/>
        <v>L(10)Eq</v>
      </c>
      <c r="M25" s="46"/>
      <c r="N25" s="49" t="s">
        <v>1799</v>
      </c>
      <c r="O25" s="48"/>
      <c r="P25" s="49"/>
      <c r="R25" s="162" t="s">
        <v>136</v>
      </c>
      <c r="S25" s="162" t="s">
        <v>136</v>
      </c>
      <c r="T25" s="159"/>
      <c r="V25" s="12"/>
      <c r="W25" s="12"/>
      <c r="X25" s="12"/>
      <c r="Y25" s="12"/>
      <c r="Z25" s="12"/>
    </row>
    <row r="26" spans="2:26">
      <c r="B26" s="46" t="s">
        <v>15</v>
      </c>
      <c r="C26" s="46" t="s">
        <v>431</v>
      </c>
      <c r="D26" s="46" t="s">
        <v>13</v>
      </c>
      <c r="E26" s="47" t="s">
        <v>48</v>
      </c>
      <c r="F26" s="47"/>
      <c r="G26" s="46"/>
      <c r="H26" s="46"/>
      <c r="I26" s="47"/>
      <c r="J26" s="47"/>
      <c r="K26" s="47"/>
      <c r="L26" s="46" t="s">
        <v>204</v>
      </c>
      <c r="M26" s="46" t="s">
        <v>14</v>
      </c>
      <c r="N26" s="49"/>
      <c r="O26" s="48"/>
      <c r="P26" s="49"/>
      <c r="R26" s="162" t="s">
        <v>136</v>
      </c>
      <c r="S26" s="162" t="s">
        <v>136</v>
      </c>
      <c r="T26" s="159"/>
      <c r="V26" s="12"/>
      <c r="W26" s="12"/>
      <c r="X26" s="12"/>
      <c r="Y26" s="12"/>
      <c r="Z26" s="12"/>
    </row>
    <row r="27" spans="2:26">
      <c r="B27" s="46" t="s">
        <v>1635</v>
      </c>
      <c r="C27" s="46" t="s">
        <v>425</v>
      </c>
      <c r="D27" s="46" t="s">
        <v>13</v>
      </c>
      <c r="E27" s="47" t="s">
        <v>48</v>
      </c>
      <c r="F27" s="47"/>
      <c r="G27" s="46"/>
      <c r="H27" s="46"/>
      <c r="I27" s="47"/>
      <c r="J27" s="47"/>
      <c r="K27" s="47"/>
      <c r="L27" s="46" t="s">
        <v>812</v>
      </c>
      <c r="M27" s="46" t="s">
        <v>158</v>
      </c>
      <c r="N27" s="49"/>
      <c r="O27" s="48"/>
      <c r="P27" s="49"/>
      <c r="R27" s="162" t="s">
        <v>136</v>
      </c>
      <c r="S27" s="162" t="s">
        <v>136</v>
      </c>
      <c r="T27" s="159"/>
      <c r="V27" s="12"/>
      <c r="W27" s="12"/>
      <c r="X27" s="12"/>
      <c r="Y27" s="12"/>
      <c r="Z27" s="12"/>
    </row>
    <row r="28" spans="2:26">
      <c r="B28" s="46" t="s">
        <v>1636</v>
      </c>
      <c r="C28" s="46" t="s">
        <v>1637</v>
      </c>
      <c r="D28" s="46" t="s">
        <v>13</v>
      </c>
      <c r="E28" s="47">
        <v>40</v>
      </c>
      <c r="F28" s="47"/>
      <c r="G28" s="46"/>
      <c r="H28" s="46"/>
      <c r="I28" s="47"/>
      <c r="J28" s="47"/>
      <c r="K28" s="47"/>
      <c r="L28" s="46" t="str">
        <f t="shared" ref="L28" si="1">"L("&amp;E28&amp;")Eq"</f>
        <v>L(40)Eq</v>
      </c>
      <c r="M28" s="46"/>
      <c r="N28" s="49"/>
      <c r="O28" s="48"/>
      <c r="P28" s="49"/>
      <c r="R28" s="162" t="s">
        <v>136</v>
      </c>
      <c r="S28" s="162" t="s">
        <v>136</v>
      </c>
      <c r="T28" s="159"/>
      <c r="V28" s="12"/>
      <c r="W28" s="12"/>
      <c r="X28" s="12"/>
      <c r="Y28" s="12"/>
      <c r="Z28" s="12"/>
    </row>
    <row r="29" spans="2:26">
      <c r="B29" s="46" t="s">
        <v>338</v>
      </c>
      <c r="C29" s="46" t="s">
        <v>1638</v>
      </c>
      <c r="D29" s="46" t="s">
        <v>13</v>
      </c>
      <c r="E29" s="47" t="s">
        <v>48</v>
      </c>
      <c r="F29" s="47"/>
      <c r="G29" s="46"/>
      <c r="H29" s="46"/>
      <c r="I29" s="47"/>
      <c r="J29" s="47"/>
      <c r="K29" s="47"/>
      <c r="L29" s="46" t="s">
        <v>812</v>
      </c>
      <c r="M29" s="46" t="s">
        <v>14</v>
      </c>
      <c r="N29" s="49" t="s">
        <v>338</v>
      </c>
      <c r="O29" s="48"/>
      <c r="P29" s="49"/>
      <c r="R29" s="162" t="s">
        <v>136</v>
      </c>
      <c r="S29" s="162" t="s">
        <v>136</v>
      </c>
      <c r="T29" s="159"/>
      <c r="V29" s="12"/>
      <c r="W29" s="12"/>
      <c r="X29" s="12"/>
      <c r="Y29" s="12"/>
      <c r="Z29" s="12"/>
    </row>
    <row r="30" spans="2:26">
      <c r="B30" s="46" t="s">
        <v>964</v>
      </c>
      <c r="C30" s="46" t="s">
        <v>965</v>
      </c>
      <c r="D30" s="46" t="s">
        <v>13</v>
      </c>
      <c r="E30" s="47">
        <v>255</v>
      </c>
      <c r="F30" s="47"/>
      <c r="G30" s="46"/>
      <c r="H30" s="46"/>
      <c r="I30" s="47"/>
      <c r="J30" s="47"/>
      <c r="K30" s="47"/>
      <c r="L30" s="46" t="s">
        <v>194</v>
      </c>
      <c r="M30" s="46" t="s">
        <v>959</v>
      </c>
      <c r="N30" s="49" t="s">
        <v>964</v>
      </c>
      <c r="O30" s="48"/>
      <c r="P30" s="49"/>
      <c r="R30" s="162" t="s">
        <v>136</v>
      </c>
      <c r="S30" s="162" t="s">
        <v>136</v>
      </c>
      <c r="T30" s="159"/>
      <c r="V30" s="12"/>
      <c r="W30" s="12"/>
      <c r="X30" s="12"/>
      <c r="Y30" s="12"/>
      <c r="Z30" s="12"/>
    </row>
    <row r="31" spans="2:26">
      <c r="B31" s="46" t="s">
        <v>1639</v>
      </c>
      <c r="C31" s="46" t="s">
        <v>1640</v>
      </c>
      <c r="D31" s="46" t="s">
        <v>13</v>
      </c>
      <c r="E31" s="47">
        <v>10</v>
      </c>
      <c r="F31" s="47"/>
      <c r="G31" s="46"/>
      <c r="H31" s="46"/>
      <c r="I31" s="47"/>
      <c r="J31" s="47"/>
      <c r="K31" s="47"/>
      <c r="L31" s="46" t="str">
        <f t="shared" ref="L31:L37" si="2">"L("&amp;E31&amp;")Eq"</f>
        <v>L(10)Eq</v>
      </c>
      <c r="M31" s="46"/>
      <c r="N31" s="49"/>
      <c r="O31" s="48"/>
      <c r="P31" s="49"/>
      <c r="R31" s="162" t="s">
        <v>136</v>
      </c>
      <c r="S31" s="162" t="s">
        <v>136</v>
      </c>
      <c r="T31" s="159"/>
      <c r="V31" s="12"/>
      <c r="W31" s="12"/>
      <c r="X31" s="12"/>
      <c r="Y31" s="12"/>
      <c r="Z31" s="12"/>
    </row>
    <row r="32" spans="2:26">
      <c r="B32" s="46" t="s">
        <v>1641</v>
      </c>
      <c r="C32" s="46" t="s">
        <v>1642</v>
      </c>
      <c r="D32" s="46" t="s">
        <v>13</v>
      </c>
      <c r="E32" s="47">
        <v>255</v>
      </c>
      <c r="F32" s="47"/>
      <c r="G32" s="46"/>
      <c r="H32" s="46"/>
      <c r="I32" s="47"/>
      <c r="J32" s="47"/>
      <c r="K32" s="47"/>
      <c r="L32" s="46" t="str">
        <f t="shared" si="2"/>
        <v>L(255)Eq</v>
      </c>
      <c r="M32" s="46" t="s">
        <v>959</v>
      </c>
      <c r="N32" s="49" t="s">
        <v>1800</v>
      </c>
      <c r="O32" s="48"/>
      <c r="P32" s="49"/>
      <c r="R32" s="162" t="s">
        <v>136</v>
      </c>
      <c r="S32" s="162" t="s">
        <v>136</v>
      </c>
      <c r="T32" s="159"/>
      <c r="V32" s="12"/>
      <c r="W32" s="12"/>
      <c r="X32" s="12"/>
      <c r="Y32" s="12"/>
      <c r="Z32" s="12"/>
    </row>
    <row r="33" spans="2:26">
      <c r="B33" s="46" t="s">
        <v>1643</v>
      </c>
      <c r="C33" s="46" t="s">
        <v>1644</v>
      </c>
      <c r="D33" s="46" t="s">
        <v>13</v>
      </c>
      <c r="E33" s="47">
        <v>10</v>
      </c>
      <c r="F33" s="47"/>
      <c r="G33" s="46"/>
      <c r="H33" s="46"/>
      <c r="I33" s="47"/>
      <c r="J33" s="47"/>
      <c r="K33" s="47"/>
      <c r="L33" s="46" t="str">
        <f t="shared" si="2"/>
        <v>L(10)Eq</v>
      </c>
      <c r="M33" s="46"/>
      <c r="N33" s="49"/>
      <c r="O33" s="48"/>
      <c r="P33" s="49"/>
      <c r="R33" s="162" t="s">
        <v>136</v>
      </c>
      <c r="S33" s="162" t="s">
        <v>136</v>
      </c>
      <c r="T33" s="159"/>
      <c r="V33" s="12"/>
      <c r="W33" s="12"/>
      <c r="X33" s="12"/>
      <c r="Y33" s="12"/>
      <c r="Z33" s="12"/>
    </row>
    <row r="34" spans="2:26">
      <c r="B34" s="46" t="s">
        <v>1645</v>
      </c>
      <c r="C34" s="46" t="s">
        <v>1646</v>
      </c>
      <c r="D34" s="46" t="s">
        <v>13</v>
      </c>
      <c r="E34" s="47">
        <v>255</v>
      </c>
      <c r="F34" s="47"/>
      <c r="G34" s="46"/>
      <c r="H34" s="46"/>
      <c r="I34" s="47"/>
      <c r="J34" s="47"/>
      <c r="K34" s="47"/>
      <c r="L34" s="46" t="str">
        <f t="shared" si="2"/>
        <v>L(255)Eq</v>
      </c>
      <c r="M34" s="46"/>
      <c r="N34" s="49"/>
      <c r="O34" s="48"/>
      <c r="P34" s="49"/>
      <c r="R34" s="162" t="s">
        <v>136</v>
      </c>
      <c r="S34" s="162" t="s">
        <v>136</v>
      </c>
      <c r="T34" s="159"/>
      <c r="V34" s="12"/>
      <c r="W34" s="12"/>
      <c r="X34" s="12"/>
      <c r="Y34" s="12"/>
      <c r="Z34" s="12"/>
    </row>
    <row r="35" spans="2:26">
      <c r="B35" s="46" t="s">
        <v>1647</v>
      </c>
      <c r="C35" s="46" t="s">
        <v>1648</v>
      </c>
      <c r="D35" s="46" t="s">
        <v>13</v>
      </c>
      <c r="E35" s="47">
        <v>10</v>
      </c>
      <c r="F35" s="47"/>
      <c r="G35" s="46"/>
      <c r="H35" s="46"/>
      <c r="I35" s="47"/>
      <c r="J35" s="47"/>
      <c r="K35" s="47"/>
      <c r="L35" s="46" t="str">
        <f t="shared" si="2"/>
        <v>L(10)Eq</v>
      </c>
      <c r="M35" s="46"/>
      <c r="N35" s="49"/>
      <c r="O35" s="48"/>
      <c r="P35" s="49"/>
      <c r="R35" s="162" t="s">
        <v>136</v>
      </c>
      <c r="S35" s="162" t="s">
        <v>136</v>
      </c>
      <c r="T35" s="159"/>
      <c r="V35" s="12"/>
      <c r="W35" s="12"/>
      <c r="X35" s="12"/>
      <c r="Y35" s="12"/>
      <c r="Z35" s="12"/>
    </row>
    <row r="36" spans="2:26">
      <c r="B36" s="46" t="s">
        <v>1649</v>
      </c>
      <c r="C36" s="46" t="s">
        <v>1650</v>
      </c>
      <c r="D36" s="46" t="s">
        <v>13</v>
      </c>
      <c r="E36" s="47">
        <v>50</v>
      </c>
      <c r="F36" s="47"/>
      <c r="G36" s="46"/>
      <c r="H36" s="46"/>
      <c r="I36" s="47"/>
      <c r="J36" s="47"/>
      <c r="K36" s="47"/>
      <c r="L36" s="46" t="str">
        <f t="shared" si="2"/>
        <v>L(50)Eq</v>
      </c>
      <c r="M36" s="46"/>
      <c r="N36" s="49"/>
      <c r="O36" s="48"/>
      <c r="P36" s="49"/>
      <c r="R36" s="162" t="s">
        <v>136</v>
      </c>
      <c r="S36" s="162" t="s">
        <v>136</v>
      </c>
      <c r="T36" s="159"/>
      <c r="V36" s="12"/>
      <c r="W36" s="12"/>
      <c r="X36" s="12"/>
      <c r="Y36" s="12"/>
      <c r="Z36" s="12"/>
    </row>
    <row r="37" spans="2:26">
      <c r="B37" s="46" t="s">
        <v>1651</v>
      </c>
      <c r="C37" s="46" t="s">
        <v>1652</v>
      </c>
      <c r="D37" s="46" t="s">
        <v>13</v>
      </c>
      <c r="E37" s="47">
        <v>50</v>
      </c>
      <c r="F37" s="47"/>
      <c r="G37" s="46"/>
      <c r="H37" s="46"/>
      <c r="I37" s="47"/>
      <c r="J37" s="47"/>
      <c r="K37" s="47"/>
      <c r="L37" s="46" t="str">
        <f t="shared" si="2"/>
        <v>L(50)Eq</v>
      </c>
      <c r="M37" s="46"/>
      <c r="N37" s="49"/>
      <c r="O37" s="48"/>
      <c r="P37" s="49"/>
      <c r="R37" s="162" t="s">
        <v>136</v>
      </c>
      <c r="S37" s="162" t="s">
        <v>136</v>
      </c>
      <c r="T37" s="159"/>
      <c r="V37" s="12"/>
      <c r="W37" s="12"/>
      <c r="X37" s="12"/>
      <c r="Y37" s="12"/>
      <c r="Z37" s="12"/>
    </row>
    <row r="38" spans="2:26">
      <c r="B38" s="46" t="s">
        <v>1653</v>
      </c>
      <c r="C38" s="46" t="s">
        <v>1040</v>
      </c>
      <c r="D38" s="46" t="s">
        <v>193</v>
      </c>
      <c r="E38" s="47">
        <v>50</v>
      </c>
      <c r="F38" s="47"/>
      <c r="G38" s="46"/>
      <c r="H38" s="46"/>
      <c r="I38" s="47"/>
      <c r="J38" s="47"/>
      <c r="K38" s="47"/>
      <c r="L38" s="46" t="s">
        <v>315</v>
      </c>
      <c r="M38" s="46" t="s">
        <v>14</v>
      </c>
      <c r="N38" s="49" t="s">
        <v>1801</v>
      </c>
      <c r="O38" s="48"/>
      <c r="P38" s="49"/>
      <c r="R38" s="162" t="s">
        <v>136</v>
      </c>
      <c r="S38" s="162" t="s">
        <v>136</v>
      </c>
      <c r="T38" s="159"/>
      <c r="V38" s="12"/>
      <c r="W38" s="12"/>
      <c r="X38" s="12"/>
      <c r="Y38" s="12"/>
      <c r="Z38" s="12"/>
    </row>
    <row r="39" spans="2:26">
      <c r="B39" s="46" t="s">
        <v>1654</v>
      </c>
      <c r="C39" s="46" t="s">
        <v>1655</v>
      </c>
      <c r="D39" s="46" t="s">
        <v>13</v>
      </c>
      <c r="E39" s="47">
        <v>50</v>
      </c>
      <c r="F39" s="47"/>
      <c r="G39" s="46"/>
      <c r="H39" s="46"/>
      <c r="I39" s="47"/>
      <c r="J39" s="47"/>
      <c r="K39" s="47"/>
      <c r="L39" s="46" t="str">
        <f t="shared" ref="L39:L42" si="3">"L("&amp;E39&amp;")Eq"</f>
        <v>L(50)Eq</v>
      </c>
      <c r="M39" s="46"/>
      <c r="N39" s="49"/>
      <c r="O39" s="48"/>
      <c r="P39" s="49"/>
      <c r="R39" s="162" t="s">
        <v>136</v>
      </c>
      <c r="S39" s="162" t="s">
        <v>136</v>
      </c>
      <c r="T39" s="159"/>
      <c r="V39" s="12"/>
      <c r="W39" s="12"/>
      <c r="X39" s="12"/>
      <c r="Y39" s="12"/>
      <c r="Z39" s="12"/>
    </row>
    <row r="40" spans="2:26">
      <c r="B40" s="46" t="s">
        <v>1656</v>
      </c>
      <c r="C40" s="46" t="s">
        <v>1657</v>
      </c>
      <c r="D40" s="46" t="s">
        <v>13</v>
      </c>
      <c r="E40" s="47">
        <v>50</v>
      </c>
      <c r="F40" s="47"/>
      <c r="G40" s="46"/>
      <c r="H40" s="46"/>
      <c r="I40" s="47"/>
      <c r="J40" s="47"/>
      <c r="K40" s="47"/>
      <c r="L40" s="46" t="str">
        <f t="shared" si="3"/>
        <v>L(50)Eq</v>
      </c>
      <c r="M40" s="46"/>
      <c r="N40" s="49"/>
      <c r="O40" s="48"/>
      <c r="P40" s="49"/>
      <c r="R40" s="162" t="s">
        <v>136</v>
      </c>
      <c r="S40" s="162" t="s">
        <v>136</v>
      </c>
      <c r="T40" s="159"/>
      <c r="V40" s="12"/>
      <c r="W40" s="12"/>
      <c r="X40" s="12"/>
      <c r="Y40" s="12"/>
      <c r="Z40" s="12"/>
    </row>
    <row r="41" spans="2:26">
      <c r="B41" s="46" t="s">
        <v>1658</v>
      </c>
      <c r="C41" s="46" t="s">
        <v>1659</v>
      </c>
      <c r="D41" s="46" t="s">
        <v>13</v>
      </c>
      <c r="E41" s="47">
        <v>100</v>
      </c>
      <c r="F41" s="47"/>
      <c r="G41" s="46"/>
      <c r="H41" s="46"/>
      <c r="I41" s="47"/>
      <c r="J41" s="47"/>
      <c r="K41" s="47"/>
      <c r="L41" s="46" t="str">
        <f t="shared" si="3"/>
        <v>L(100)Eq</v>
      </c>
      <c r="M41" s="46"/>
      <c r="N41" s="49"/>
      <c r="O41" s="48"/>
      <c r="P41" s="49"/>
      <c r="R41" s="162" t="s">
        <v>136</v>
      </c>
      <c r="S41" s="162" t="s">
        <v>136</v>
      </c>
      <c r="T41" s="159"/>
      <c r="V41" s="12"/>
      <c r="W41" s="12"/>
      <c r="X41" s="12"/>
      <c r="Y41" s="12"/>
      <c r="Z41" s="12"/>
    </row>
    <row r="42" spans="2:26">
      <c r="B42" s="46" t="s">
        <v>1660</v>
      </c>
      <c r="C42" s="46" t="s">
        <v>1661</v>
      </c>
      <c r="D42" s="46" t="s">
        <v>13</v>
      </c>
      <c r="E42" s="47">
        <v>40</v>
      </c>
      <c r="F42" s="47"/>
      <c r="G42" s="46"/>
      <c r="H42" s="46"/>
      <c r="I42" s="47"/>
      <c r="J42" s="47"/>
      <c r="K42" s="47"/>
      <c r="L42" s="46" t="str">
        <f t="shared" si="3"/>
        <v>L(40)Eq</v>
      </c>
      <c r="M42" s="46"/>
      <c r="N42" s="49"/>
      <c r="O42" s="48"/>
      <c r="P42" s="49"/>
      <c r="R42" s="162" t="s">
        <v>136</v>
      </c>
      <c r="S42" s="162" t="s">
        <v>136</v>
      </c>
      <c r="T42" s="159"/>
      <c r="V42" s="12"/>
      <c r="W42" s="12"/>
      <c r="X42" s="12"/>
      <c r="Y42" s="12"/>
      <c r="Z42" s="12"/>
    </row>
    <row r="43" spans="2:26">
      <c r="B43" s="46" t="s">
        <v>1662</v>
      </c>
      <c r="C43" s="46" t="s">
        <v>1663</v>
      </c>
      <c r="D43" s="46" t="s">
        <v>17</v>
      </c>
      <c r="E43" s="47"/>
      <c r="F43" s="47"/>
      <c r="G43" s="46"/>
      <c r="H43" s="46"/>
      <c r="I43" s="47"/>
      <c r="J43" s="47"/>
      <c r="K43" s="47"/>
      <c r="L43" s="141" t="s">
        <v>1816</v>
      </c>
      <c r="M43" s="46"/>
      <c r="N43" s="49"/>
      <c r="O43" s="48"/>
      <c r="P43" s="49"/>
      <c r="R43" s="162" t="s">
        <v>136</v>
      </c>
      <c r="S43" s="162" t="s">
        <v>136</v>
      </c>
      <c r="T43" s="159"/>
      <c r="V43" s="12"/>
      <c r="W43" s="12"/>
      <c r="X43" s="12"/>
      <c r="Y43" s="12"/>
      <c r="Z43" s="12"/>
    </row>
    <row r="44" spans="2:26">
      <c r="B44" s="46" t="s">
        <v>1664</v>
      </c>
      <c r="C44" s="46" t="s">
        <v>1665</v>
      </c>
      <c r="D44" s="46" t="s">
        <v>13</v>
      </c>
      <c r="E44" s="47">
        <v>40</v>
      </c>
      <c r="F44" s="47"/>
      <c r="G44" s="46"/>
      <c r="H44" s="46"/>
      <c r="I44" s="47"/>
      <c r="J44" s="47"/>
      <c r="K44" s="47"/>
      <c r="L44" s="46" t="str">
        <f t="shared" ref="L44" si="4">"L("&amp;E44&amp;")Eq"</f>
        <v>L(40)Eq</v>
      </c>
      <c r="M44" s="46"/>
      <c r="N44" s="49"/>
      <c r="O44" s="48"/>
      <c r="P44" s="49"/>
      <c r="R44" s="162" t="s">
        <v>136</v>
      </c>
      <c r="S44" s="162" t="s">
        <v>136</v>
      </c>
      <c r="T44" s="159"/>
      <c r="V44" s="12"/>
      <c r="W44" s="12"/>
      <c r="X44" s="12"/>
      <c r="Y44" s="12"/>
      <c r="Z44" s="12"/>
    </row>
    <row r="45" spans="2:26">
      <c r="B45" s="46" t="s">
        <v>1666</v>
      </c>
      <c r="C45" s="46" t="s">
        <v>1667</v>
      </c>
      <c r="D45" s="46" t="s">
        <v>17</v>
      </c>
      <c r="E45" s="47"/>
      <c r="F45" s="47"/>
      <c r="G45" s="46"/>
      <c r="H45" s="46"/>
      <c r="I45" s="47"/>
      <c r="J45" s="47"/>
      <c r="K45" s="47"/>
      <c r="L45" s="141" t="s">
        <v>1816</v>
      </c>
      <c r="M45" s="46" t="s">
        <v>1861</v>
      </c>
      <c r="N45" s="49" t="s">
        <v>1901</v>
      </c>
      <c r="O45" s="48"/>
      <c r="P45" s="49"/>
      <c r="R45" s="162" t="s">
        <v>136</v>
      </c>
      <c r="S45" s="162" t="s">
        <v>136</v>
      </c>
      <c r="T45" s="159"/>
      <c r="V45" s="12"/>
      <c r="W45" s="12"/>
      <c r="X45" s="12"/>
      <c r="Y45" s="12"/>
      <c r="Z45" s="12"/>
    </row>
    <row r="46" spans="2:26">
      <c r="B46" s="46" t="s">
        <v>1668</v>
      </c>
      <c r="C46" s="46" t="s">
        <v>1669</v>
      </c>
      <c r="D46" s="46" t="s">
        <v>13</v>
      </c>
      <c r="E46" s="47">
        <v>40</v>
      </c>
      <c r="F46" s="47"/>
      <c r="G46" s="46"/>
      <c r="H46" s="46"/>
      <c r="I46" s="47"/>
      <c r="J46" s="47"/>
      <c r="K46" s="47"/>
      <c r="L46" s="46" t="str">
        <f t="shared" ref="L46" si="5">"L("&amp;E46&amp;")Eq"</f>
        <v>L(40)Eq</v>
      </c>
      <c r="M46" s="46"/>
      <c r="N46" s="49"/>
      <c r="O46" s="48"/>
      <c r="P46" s="49"/>
      <c r="R46" s="162" t="s">
        <v>136</v>
      </c>
      <c r="S46" s="162" t="s">
        <v>136</v>
      </c>
      <c r="T46" s="159"/>
      <c r="V46" s="12"/>
      <c r="W46" s="12"/>
      <c r="X46" s="12"/>
      <c r="Y46" s="12"/>
      <c r="Z46" s="12"/>
    </row>
    <row r="47" spans="2:26">
      <c r="B47" s="46" t="s">
        <v>1670</v>
      </c>
      <c r="C47" s="46" t="s">
        <v>1671</v>
      </c>
      <c r="D47" s="46" t="s">
        <v>17</v>
      </c>
      <c r="E47" s="47"/>
      <c r="F47" s="47"/>
      <c r="G47" s="46"/>
      <c r="H47" s="46"/>
      <c r="I47" s="47"/>
      <c r="J47" s="47"/>
      <c r="K47" s="47"/>
      <c r="L47" s="141" t="s">
        <v>1816</v>
      </c>
      <c r="M47" s="46"/>
      <c r="N47" s="49"/>
      <c r="O47" s="48"/>
      <c r="P47" s="49"/>
      <c r="R47" s="162" t="s">
        <v>136</v>
      </c>
      <c r="S47" s="162" t="s">
        <v>136</v>
      </c>
      <c r="T47" s="159"/>
      <c r="V47" s="12"/>
      <c r="W47" s="12"/>
      <c r="X47" s="12"/>
      <c r="Y47" s="12"/>
      <c r="Z47" s="12"/>
    </row>
    <row r="48" spans="2:26">
      <c r="B48" s="46" t="s">
        <v>1672</v>
      </c>
      <c r="C48" s="46" t="s">
        <v>1673</v>
      </c>
      <c r="D48" s="46" t="s">
        <v>13</v>
      </c>
      <c r="E48" s="47">
        <v>40</v>
      </c>
      <c r="F48" s="47"/>
      <c r="G48" s="46"/>
      <c r="H48" s="46"/>
      <c r="I48" s="47"/>
      <c r="J48" s="47"/>
      <c r="K48" s="47"/>
      <c r="L48" s="46" t="str">
        <f t="shared" ref="L48" si="6">"L("&amp;E48&amp;")Eq"</f>
        <v>L(40)Eq</v>
      </c>
      <c r="M48" s="46"/>
      <c r="N48" s="49"/>
      <c r="O48" s="48"/>
      <c r="P48" s="49"/>
      <c r="R48" s="162" t="s">
        <v>136</v>
      </c>
      <c r="S48" s="162" t="s">
        <v>136</v>
      </c>
      <c r="T48" s="159"/>
      <c r="V48" s="12"/>
      <c r="W48" s="12"/>
      <c r="X48" s="12"/>
      <c r="Y48" s="12"/>
      <c r="Z48" s="12"/>
    </row>
    <row r="49" spans="2:26">
      <c r="B49" s="46" t="s">
        <v>1674</v>
      </c>
      <c r="C49" s="46" t="s">
        <v>1675</v>
      </c>
      <c r="D49" s="46" t="s">
        <v>17</v>
      </c>
      <c r="E49" s="47"/>
      <c r="F49" s="47"/>
      <c r="G49" s="46"/>
      <c r="H49" s="46"/>
      <c r="I49" s="47"/>
      <c r="J49" s="47"/>
      <c r="K49" s="47"/>
      <c r="L49" s="141" t="s">
        <v>1816</v>
      </c>
      <c r="M49" s="46"/>
      <c r="N49" s="49"/>
      <c r="O49" s="48"/>
      <c r="P49" s="49"/>
      <c r="R49" s="162" t="s">
        <v>136</v>
      </c>
      <c r="S49" s="162" t="s">
        <v>136</v>
      </c>
      <c r="T49" s="159"/>
      <c r="V49" s="12"/>
      <c r="W49" s="12"/>
      <c r="X49" s="12"/>
      <c r="Y49" s="12"/>
      <c r="Z49" s="12"/>
    </row>
    <row r="50" spans="2:26">
      <c r="B50" s="46" t="s">
        <v>1676</v>
      </c>
      <c r="C50" s="46" t="s">
        <v>1677</v>
      </c>
      <c r="D50" s="46" t="s">
        <v>13</v>
      </c>
      <c r="E50" s="47">
        <v>40</v>
      </c>
      <c r="F50" s="47"/>
      <c r="G50" s="46"/>
      <c r="H50" s="46"/>
      <c r="I50" s="47"/>
      <c r="J50" s="47"/>
      <c r="K50" s="47"/>
      <c r="L50" s="46" t="str">
        <f t="shared" ref="L50" si="7">"L("&amp;E50&amp;")Eq"</f>
        <v>L(40)Eq</v>
      </c>
      <c r="M50" s="46"/>
      <c r="N50" s="49"/>
      <c r="O50" s="48"/>
      <c r="P50" s="49"/>
      <c r="R50" s="162" t="s">
        <v>136</v>
      </c>
      <c r="S50" s="162" t="s">
        <v>136</v>
      </c>
      <c r="T50" s="159"/>
      <c r="V50" s="12"/>
      <c r="W50" s="12"/>
      <c r="X50" s="12"/>
      <c r="Y50" s="12"/>
      <c r="Z50" s="12"/>
    </row>
    <row r="51" spans="2:26">
      <c r="B51" s="46" t="s">
        <v>1678</v>
      </c>
      <c r="C51" s="46" t="s">
        <v>1679</v>
      </c>
      <c r="D51" s="46" t="s">
        <v>17</v>
      </c>
      <c r="E51" s="47"/>
      <c r="F51" s="47"/>
      <c r="G51" s="46"/>
      <c r="H51" s="46"/>
      <c r="I51" s="47"/>
      <c r="J51" s="47"/>
      <c r="K51" s="47"/>
      <c r="L51" s="141" t="s">
        <v>1816</v>
      </c>
      <c r="M51" s="46"/>
      <c r="N51" s="49"/>
      <c r="O51" s="48"/>
      <c r="P51" s="49"/>
      <c r="R51" s="162" t="s">
        <v>136</v>
      </c>
      <c r="S51" s="162" t="s">
        <v>136</v>
      </c>
      <c r="T51" s="159"/>
      <c r="V51" s="12"/>
      <c r="W51" s="12"/>
      <c r="X51" s="12"/>
      <c r="Y51" s="12"/>
      <c r="Z51" s="12"/>
    </row>
    <row r="52" spans="2:26">
      <c r="B52" s="46" t="s">
        <v>1680</v>
      </c>
      <c r="C52" s="46" t="s">
        <v>1681</v>
      </c>
      <c r="D52" s="46" t="s">
        <v>13</v>
      </c>
      <c r="E52" s="47">
        <v>40</v>
      </c>
      <c r="F52" s="47"/>
      <c r="G52" s="46"/>
      <c r="H52" s="46"/>
      <c r="I52" s="47"/>
      <c r="J52" s="47"/>
      <c r="K52" s="47"/>
      <c r="L52" s="46" t="str">
        <f t="shared" ref="L52" si="8">"L("&amp;E52&amp;")Eq"</f>
        <v>L(40)Eq</v>
      </c>
      <c r="M52" s="46"/>
      <c r="N52" s="49"/>
      <c r="O52" s="48"/>
      <c r="P52" s="49"/>
      <c r="R52" s="162" t="s">
        <v>136</v>
      </c>
      <c r="S52" s="162" t="s">
        <v>136</v>
      </c>
      <c r="T52" s="159"/>
      <c r="V52" s="12"/>
      <c r="W52" s="12"/>
      <c r="X52" s="12"/>
      <c r="Y52" s="12"/>
      <c r="Z52" s="12"/>
    </row>
    <row r="53" spans="2:26">
      <c r="B53" s="46" t="s">
        <v>1682</v>
      </c>
      <c r="C53" s="46" t="s">
        <v>1683</v>
      </c>
      <c r="D53" s="46" t="s">
        <v>17</v>
      </c>
      <c r="E53" s="47"/>
      <c r="F53" s="47"/>
      <c r="G53" s="46"/>
      <c r="H53" s="46"/>
      <c r="I53" s="47"/>
      <c r="J53" s="47"/>
      <c r="K53" s="47"/>
      <c r="L53" s="141" t="s">
        <v>1816</v>
      </c>
      <c r="M53" s="46"/>
      <c r="N53" s="49"/>
      <c r="O53" s="48"/>
      <c r="P53" s="49"/>
      <c r="R53" s="162" t="s">
        <v>136</v>
      </c>
      <c r="S53" s="162" t="s">
        <v>136</v>
      </c>
      <c r="T53" s="159"/>
      <c r="V53" s="12"/>
      <c r="W53" s="12"/>
      <c r="X53" s="12"/>
      <c r="Y53" s="12"/>
      <c r="Z53" s="12"/>
    </row>
    <row r="54" spans="2:26">
      <c r="B54" s="46" t="s">
        <v>1684</v>
      </c>
      <c r="C54" s="46" t="s">
        <v>1685</v>
      </c>
      <c r="D54" s="46" t="s">
        <v>13</v>
      </c>
      <c r="E54" s="47">
        <v>40</v>
      </c>
      <c r="F54" s="47"/>
      <c r="G54" s="46"/>
      <c r="H54" s="46"/>
      <c r="I54" s="47"/>
      <c r="J54" s="47"/>
      <c r="K54" s="47"/>
      <c r="L54" s="46" t="str">
        <f t="shared" ref="L54" si="9">"L("&amp;E54&amp;")Eq"</f>
        <v>L(40)Eq</v>
      </c>
      <c r="M54" s="46"/>
      <c r="N54" s="49"/>
      <c r="O54" s="48"/>
      <c r="P54" s="49"/>
      <c r="R54" s="162" t="s">
        <v>136</v>
      </c>
      <c r="S54" s="162" t="s">
        <v>136</v>
      </c>
      <c r="T54" s="159"/>
      <c r="V54" s="12"/>
      <c r="W54" s="12"/>
      <c r="X54" s="12"/>
      <c r="Y54" s="12"/>
      <c r="Z54" s="12"/>
    </row>
    <row r="55" spans="2:26">
      <c r="B55" s="46" t="s">
        <v>1686</v>
      </c>
      <c r="C55" s="46" t="s">
        <v>1687</v>
      </c>
      <c r="D55" s="46" t="s">
        <v>17</v>
      </c>
      <c r="E55" s="47"/>
      <c r="F55" s="47"/>
      <c r="G55" s="46"/>
      <c r="H55" s="46"/>
      <c r="I55" s="47"/>
      <c r="J55" s="47"/>
      <c r="K55" s="47"/>
      <c r="L55" s="141" t="s">
        <v>1816</v>
      </c>
      <c r="M55" s="46"/>
      <c r="N55" s="49"/>
      <c r="O55" s="48"/>
      <c r="P55" s="49"/>
      <c r="R55" s="162" t="s">
        <v>136</v>
      </c>
      <c r="S55" s="162" t="s">
        <v>136</v>
      </c>
      <c r="T55" s="159"/>
      <c r="V55" s="12"/>
      <c r="W55" s="12"/>
      <c r="X55" s="12"/>
      <c r="Y55" s="12"/>
      <c r="Z55" s="12"/>
    </row>
    <row r="56" spans="2:26">
      <c r="B56" s="46" t="s">
        <v>1688</v>
      </c>
      <c r="C56" s="46" t="s">
        <v>1689</v>
      </c>
      <c r="D56" s="46" t="s">
        <v>13</v>
      </c>
      <c r="E56" s="47">
        <v>40</v>
      </c>
      <c r="F56" s="47"/>
      <c r="G56" s="46"/>
      <c r="H56" s="46"/>
      <c r="I56" s="47"/>
      <c r="J56" s="47"/>
      <c r="K56" s="47"/>
      <c r="L56" s="46" t="str">
        <f t="shared" ref="L56" si="10">"L("&amp;E56&amp;")Eq"</f>
        <v>L(40)Eq</v>
      </c>
      <c r="M56" s="46"/>
      <c r="N56" s="49"/>
      <c r="O56" s="48"/>
      <c r="P56" s="49"/>
      <c r="R56" s="162" t="s">
        <v>136</v>
      </c>
      <c r="S56" s="162" t="s">
        <v>136</v>
      </c>
      <c r="T56" s="159"/>
      <c r="V56" s="12"/>
      <c r="W56" s="12"/>
      <c r="X56" s="12"/>
      <c r="Y56" s="12"/>
      <c r="Z56" s="12"/>
    </row>
    <row r="57" spans="2:26">
      <c r="B57" s="46" t="s">
        <v>1690</v>
      </c>
      <c r="C57" s="46" t="s">
        <v>1691</v>
      </c>
      <c r="D57" s="46" t="s">
        <v>17</v>
      </c>
      <c r="E57" s="47"/>
      <c r="F57" s="47"/>
      <c r="G57" s="46"/>
      <c r="H57" s="46"/>
      <c r="I57" s="47"/>
      <c r="J57" s="47"/>
      <c r="K57" s="47"/>
      <c r="L57" s="141" t="s">
        <v>1816</v>
      </c>
      <c r="M57" s="46"/>
      <c r="N57" s="49"/>
      <c r="O57" s="48"/>
      <c r="P57" s="49"/>
      <c r="R57" s="162" t="s">
        <v>136</v>
      </c>
      <c r="S57" s="162" t="s">
        <v>136</v>
      </c>
      <c r="T57" s="159"/>
      <c r="V57" s="12"/>
      <c r="W57" s="12"/>
      <c r="X57" s="12"/>
      <c r="Y57" s="12"/>
      <c r="Z57" s="12"/>
    </row>
    <row r="58" spans="2:26">
      <c r="B58" s="46" t="s">
        <v>1692</v>
      </c>
      <c r="C58" s="46" t="s">
        <v>1693</v>
      </c>
      <c r="D58" s="46" t="s">
        <v>13</v>
      </c>
      <c r="E58" s="47">
        <v>40</v>
      </c>
      <c r="F58" s="47"/>
      <c r="G58" s="46"/>
      <c r="H58" s="46"/>
      <c r="I58" s="47"/>
      <c r="J58" s="47"/>
      <c r="K58" s="47"/>
      <c r="L58" s="46" t="str">
        <f t="shared" ref="L58" si="11">"L("&amp;E58&amp;")Eq"</f>
        <v>L(40)Eq</v>
      </c>
      <c r="M58" s="46"/>
      <c r="N58" s="49"/>
      <c r="O58" s="48"/>
      <c r="P58" s="49"/>
      <c r="R58" s="162" t="s">
        <v>136</v>
      </c>
      <c r="S58" s="162" t="s">
        <v>136</v>
      </c>
      <c r="T58" s="159"/>
      <c r="V58" s="12"/>
      <c r="W58" s="12"/>
      <c r="X58" s="12"/>
      <c r="Y58" s="12"/>
      <c r="Z58" s="12"/>
    </row>
    <row r="59" spans="2:26">
      <c r="B59" s="46" t="s">
        <v>1694</v>
      </c>
      <c r="C59" s="46" t="s">
        <v>1695</v>
      </c>
      <c r="D59" s="46" t="s">
        <v>17</v>
      </c>
      <c r="E59" s="47"/>
      <c r="F59" s="47"/>
      <c r="G59" s="46"/>
      <c r="H59" s="46"/>
      <c r="I59" s="47"/>
      <c r="J59" s="47"/>
      <c r="K59" s="47"/>
      <c r="L59" s="141" t="s">
        <v>1816</v>
      </c>
      <c r="M59" s="46"/>
      <c r="N59" s="49"/>
      <c r="O59" s="48"/>
      <c r="P59" s="49"/>
      <c r="R59" s="162" t="s">
        <v>136</v>
      </c>
      <c r="S59" s="162" t="s">
        <v>136</v>
      </c>
      <c r="T59" s="159"/>
      <c r="V59" s="12"/>
      <c r="W59" s="12"/>
      <c r="X59" s="12"/>
      <c r="Y59" s="12"/>
      <c r="Z59" s="12"/>
    </row>
    <row r="60" spans="2:26">
      <c r="B60" s="46" t="s">
        <v>1696</v>
      </c>
      <c r="C60" s="46" t="s">
        <v>1697</v>
      </c>
      <c r="D60" s="46" t="s">
        <v>13</v>
      </c>
      <c r="E60" s="47">
        <v>40</v>
      </c>
      <c r="F60" s="47"/>
      <c r="G60" s="46"/>
      <c r="H60" s="46"/>
      <c r="I60" s="47"/>
      <c r="J60" s="47"/>
      <c r="K60" s="47"/>
      <c r="L60" s="46" t="str">
        <f t="shared" ref="L60" si="12">"L("&amp;E60&amp;")Eq"</f>
        <v>L(40)Eq</v>
      </c>
      <c r="M60" s="46"/>
      <c r="N60" s="49"/>
      <c r="O60" s="48"/>
      <c r="P60" s="49"/>
      <c r="R60" s="162" t="s">
        <v>136</v>
      </c>
      <c r="S60" s="162" t="s">
        <v>136</v>
      </c>
      <c r="T60" s="159"/>
      <c r="V60" s="12"/>
      <c r="W60" s="12"/>
      <c r="X60" s="12"/>
      <c r="Y60" s="12"/>
      <c r="Z60" s="12"/>
    </row>
    <row r="61" spans="2:26">
      <c r="B61" s="46" t="s">
        <v>1698</v>
      </c>
      <c r="C61" s="46" t="s">
        <v>1699</v>
      </c>
      <c r="D61" s="46" t="s">
        <v>17</v>
      </c>
      <c r="E61" s="47"/>
      <c r="F61" s="47"/>
      <c r="G61" s="46"/>
      <c r="H61" s="46"/>
      <c r="I61" s="47"/>
      <c r="J61" s="47"/>
      <c r="K61" s="47"/>
      <c r="L61" s="141" t="s">
        <v>1816</v>
      </c>
      <c r="M61" s="46"/>
      <c r="N61" s="49"/>
      <c r="O61" s="48"/>
      <c r="P61" s="49"/>
      <c r="R61" s="162" t="s">
        <v>136</v>
      </c>
      <c r="S61" s="162" t="s">
        <v>136</v>
      </c>
      <c r="T61" s="159"/>
      <c r="V61" s="12"/>
      <c r="W61" s="12"/>
      <c r="X61" s="12"/>
      <c r="Y61" s="12"/>
      <c r="Z61" s="12"/>
    </row>
    <row r="62" spans="2:26">
      <c r="B62" s="46" t="s">
        <v>1700</v>
      </c>
      <c r="C62" s="46" t="s">
        <v>1701</v>
      </c>
      <c r="D62" s="46" t="s">
        <v>193</v>
      </c>
      <c r="E62" s="47">
        <v>100</v>
      </c>
      <c r="F62" s="47"/>
      <c r="G62" s="46"/>
      <c r="H62" s="46"/>
      <c r="I62" s="47"/>
      <c r="J62" s="47"/>
      <c r="K62" s="47"/>
      <c r="L62" s="46" t="str">
        <f t="shared" ref="L62:L65" si="13">"L("&amp;E62&amp;")Eq"</f>
        <v>L(100)Eq</v>
      </c>
      <c r="M62" s="46"/>
      <c r="N62" s="49"/>
      <c r="O62" s="48"/>
      <c r="P62" s="49"/>
      <c r="R62" s="162" t="s">
        <v>136</v>
      </c>
      <c r="S62" s="162" t="s">
        <v>136</v>
      </c>
      <c r="T62" s="159"/>
      <c r="V62" s="12"/>
      <c r="W62" s="12"/>
      <c r="X62" s="12"/>
      <c r="Y62" s="12"/>
      <c r="Z62" s="12"/>
    </row>
    <row r="63" spans="2:26">
      <c r="B63" s="46" t="s">
        <v>1702</v>
      </c>
      <c r="C63" s="46" t="s">
        <v>1703</v>
      </c>
      <c r="D63" s="46" t="s">
        <v>193</v>
      </c>
      <c r="E63" s="47">
        <v>100</v>
      </c>
      <c r="F63" s="47"/>
      <c r="G63" s="46"/>
      <c r="H63" s="46"/>
      <c r="I63" s="47"/>
      <c r="J63" s="47"/>
      <c r="K63" s="47"/>
      <c r="L63" s="46" t="str">
        <f t="shared" si="13"/>
        <v>L(100)Eq</v>
      </c>
      <c r="M63" s="46"/>
      <c r="N63" s="49"/>
      <c r="O63" s="48"/>
      <c r="P63" s="49"/>
      <c r="R63" s="162" t="s">
        <v>136</v>
      </c>
      <c r="S63" s="162" t="s">
        <v>136</v>
      </c>
      <c r="T63" s="159"/>
      <c r="V63" s="12"/>
      <c r="W63" s="12"/>
      <c r="X63" s="12"/>
      <c r="Y63" s="12"/>
      <c r="Z63" s="12"/>
    </row>
    <row r="64" spans="2:26">
      <c r="B64" s="46" t="s">
        <v>1704</v>
      </c>
      <c r="C64" s="46" t="s">
        <v>1705</v>
      </c>
      <c r="D64" s="46" t="s">
        <v>13</v>
      </c>
      <c r="E64" s="47">
        <v>10</v>
      </c>
      <c r="F64" s="47"/>
      <c r="G64" s="46"/>
      <c r="H64" s="46"/>
      <c r="I64" s="47"/>
      <c r="J64" s="47"/>
      <c r="K64" s="47"/>
      <c r="L64" s="46" t="str">
        <f t="shared" si="13"/>
        <v>L(10)Eq</v>
      </c>
      <c r="M64" s="46"/>
      <c r="N64" s="49"/>
      <c r="O64" s="48"/>
      <c r="P64" s="49"/>
      <c r="R64" s="162" t="s">
        <v>136</v>
      </c>
      <c r="S64" s="162" t="s">
        <v>136</v>
      </c>
      <c r="T64" s="159"/>
      <c r="V64" s="12"/>
      <c r="W64" s="12"/>
      <c r="X64" s="12"/>
      <c r="Y64" s="12"/>
      <c r="Z64" s="12"/>
    </row>
    <row r="65" spans="2:26">
      <c r="B65" s="46" t="s">
        <v>1706</v>
      </c>
      <c r="C65" s="46" t="s">
        <v>1707</v>
      </c>
      <c r="D65" s="46" t="s">
        <v>13</v>
      </c>
      <c r="E65" s="47">
        <v>20</v>
      </c>
      <c r="F65" s="47"/>
      <c r="G65" s="46"/>
      <c r="H65" s="46"/>
      <c r="I65" s="47"/>
      <c r="J65" s="47"/>
      <c r="K65" s="47"/>
      <c r="L65" s="46" t="str">
        <f t="shared" si="13"/>
        <v>L(20)Eq</v>
      </c>
      <c r="M65" s="85" t="s">
        <v>1861</v>
      </c>
      <c r="N65" s="87" t="s">
        <v>1900</v>
      </c>
      <c r="O65" s="48"/>
      <c r="P65" s="87" t="s">
        <v>1902</v>
      </c>
      <c r="R65" s="162" t="s">
        <v>136</v>
      </c>
      <c r="S65" s="162" t="s">
        <v>136</v>
      </c>
      <c r="T65" s="159"/>
      <c r="V65" s="12"/>
      <c r="W65" s="12"/>
      <c r="X65" s="12"/>
      <c r="Y65" s="12"/>
      <c r="Z65" s="12"/>
    </row>
    <row r="66" spans="2:26">
      <c r="B66" s="46" t="s">
        <v>1708</v>
      </c>
      <c r="C66" s="46" t="s">
        <v>1709</v>
      </c>
      <c r="D66" s="46" t="s">
        <v>64</v>
      </c>
      <c r="E66" s="47"/>
      <c r="F66" s="47"/>
      <c r="G66" s="46"/>
      <c r="H66" s="46"/>
      <c r="I66" s="47"/>
      <c r="J66" s="47"/>
      <c r="K66" s="47"/>
      <c r="L66" s="46">
        <v>0</v>
      </c>
      <c r="M66" s="46"/>
      <c r="N66" s="49"/>
      <c r="O66" s="48"/>
      <c r="P66" s="49"/>
      <c r="R66" s="162" t="s">
        <v>136</v>
      </c>
      <c r="S66" s="162" t="s">
        <v>136</v>
      </c>
      <c r="T66" s="159"/>
      <c r="V66" s="12"/>
      <c r="W66" s="12"/>
      <c r="X66" s="12"/>
      <c r="Y66" s="12"/>
      <c r="Z66" s="12"/>
    </row>
    <row r="67" spans="2:26">
      <c r="B67" s="46" t="s">
        <v>1710</v>
      </c>
      <c r="C67" s="46" t="s">
        <v>1711</v>
      </c>
      <c r="D67" s="46" t="s">
        <v>13</v>
      </c>
      <c r="E67" s="47">
        <v>10</v>
      </c>
      <c r="F67" s="47"/>
      <c r="G67" s="46"/>
      <c r="H67" s="46"/>
      <c r="I67" s="47"/>
      <c r="J67" s="47"/>
      <c r="K67" s="47"/>
      <c r="L67" s="46" t="str">
        <f t="shared" ref="L67" si="14">"L("&amp;E67&amp;")Eq"</f>
        <v>L(10)Eq</v>
      </c>
      <c r="M67" s="46"/>
      <c r="N67" s="49"/>
      <c r="O67" s="48"/>
      <c r="P67" s="49"/>
      <c r="R67" s="162" t="s">
        <v>136</v>
      </c>
      <c r="S67" s="162" t="s">
        <v>136</v>
      </c>
      <c r="T67" s="159"/>
      <c r="V67" s="12"/>
      <c r="W67" s="12"/>
      <c r="X67" s="12"/>
      <c r="Y67" s="12"/>
      <c r="Z67" s="12"/>
    </row>
    <row r="68" spans="2:26">
      <c r="B68" s="46" t="s">
        <v>1712</v>
      </c>
      <c r="C68" s="46" t="s">
        <v>1713</v>
      </c>
      <c r="D68" s="46" t="s">
        <v>17</v>
      </c>
      <c r="E68" s="47"/>
      <c r="F68" s="47"/>
      <c r="G68" s="46"/>
      <c r="H68" s="46"/>
      <c r="I68" s="47"/>
      <c r="J68" s="47"/>
      <c r="K68" s="47"/>
      <c r="L68" s="141" t="s">
        <v>1816</v>
      </c>
      <c r="M68" s="46"/>
      <c r="N68" s="49"/>
      <c r="O68" s="48"/>
      <c r="P68" s="49"/>
      <c r="R68" s="162" t="s">
        <v>136</v>
      </c>
      <c r="S68" s="162" t="s">
        <v>136</v>
      </c>
      <c r="T68" s="159"/>
      <c r="V68" s="12"/>
      <c r="W68" s="12"/>
      <c r="X68" s="12"/>
      <c r="Y68" s="12"/>
      <c r="Z68" s="12"/>
    </row>
    <row r="69" spans="2:26">
      <c r="B69" s="46" t="s">
        <v>536</v>
      </c>
      <c r="C69" s="46" t="s">
        <v>537</v>
      </c>
      <c r="D69" s="46" t="s">
        <v>13</v>
      </c>
      <c r="E69" s="47">
        <v>50</v>
      </c>
      <c r="F69" s="47"/>
      <c r="G69" s="46"/>
      <c r="H69" s="46"/>
      <c r="I69" s="47"/>
      <c r="J69" s="47"/>
      <c r="K69" s="47"/>
      <c r="L69" s="46" t="str">
        <f t="shared" ref="L69:L73" si="15">"L("&amp;E69&amp;")Eq"</f>
        <v>L(50)Eq</v>
      </c>
      <c r="M69" s="46"/>
      <c r="N69" s="49"/>
      <c r="O69" s="48"/>
      <c r="P69" s="49"/>
      <c r="R69" s="162" t="s">
        <v>136</v>
      </c>
      <c r="S69" s="162" t="s">
        <v>136</v>
      </c>
      <c r="T69" s="159"/>
      <c r="V69" s="12"/>
      <c r="W69" s="12"/>
      <c r="X69" s="12"/>
      <c r="Y69" s="12"/>
      <c r="Z69" s="12"/>
    </row>
    <row r="70" spans="2:26">
      <c r="B70" s="46" t="s">
        <v>1714</v>
      </c>
      <c r="C70" s="46" t="s">
        <v>1715</v>
      </c>
      <c r="D70" s="46" t="s">
        <v>13</v>
      </c>
      <c r="E70" s="47">
        <v>10</v>
      </c>
      <c r="F70" s="47"/>
      <c r="G70" s="46"/>
      <c r="H70" s="46"/>
      <c r="I70" s="47"/>
      <c r="J70" s="47"/>
      <c r="K70" s="47"/>
      <c r="L70" s="46" t="str">
        <f t="shared" si="15"/>
        <v>L(10)Eq</v>
      </c>
      <c r="M70" s="46"/>
      <c r="N70" s="49"/>
      <c r="O70" s="48"/>
      <c r="P70" s="49"/>
      <c r="R70" s="162" t="s">
        <v>136</v>
      </c>
      <c r="S70" s="162" t="s">
        <v>136</v>
      </c>
      <c r="T70" s="159"/>
      <c r="V70" s="12"/>
      <c r="W70" s="12"/>
      <c r="X70" s="12"/>
      <c r="Y70" s="12"/>
      <c r="Z70" s="12"/>
    </row>
    <row r="71" spans="2:26">
      <c r="B71" s="46" t="s">
        <v>1716</v>
      </c>
      <c r="C71" s="46" t="s">
        <v>1717</v>
      </c>
      <c r="D71" s="46" t="s">
        <v>13</v>
      </c>
      <c r="E71" s="47">
        <v>100</v>
      </c>
      <c r="F71" s="47"/>
      <c r="G71" s="46"/>
      <c r="H71" s="46"/>
      <c r="I71" s="47"/>
      <c r="J71" s="47"/>
      <c r="K71" s="47"/>
      <c r="L71" s="46" t="str">
        <f t="shared" si="15"/>
        <v>L(100)Eq</v>
      </c>
      <c r="M71" s="46"/>
      <c r="N71" s="49"/>
      <c r="O71" s="48"/>
      <c r="P71" s="49"/>
      <c r="R71" s="162" t="s">
        <v>136</v>
      </c>
      <c r="S71" s="162" t="s">
        <v>136</v>
      </c>
      <c r="T71" s="159"/>
      <c r="V71" s="12"/>
      <c r="W71" s="12"/>
      <c r="X71" s="12"/>
      <c r="Y71" s="12"/>
      <c r="Z71" s="12"/>
    </row>
    <row r="72" spans="2:26">
      <c r="B72" s="46" t="s">
        <v>1718</v>
      </c>
      <c r="C72" s="46" t="s">
        <v>1719</v>
      </c>
      <c r="D72" s="46" t="s">
        <v>13</v>
      </c>
      <c r="E72" s="47">
        <v>100</v>
      </c>
      <c r="F72" s="47"/>
      <c r="G72" s="46"/>
      <c r="H72" s="46"/>
      <c r="I72" s="47"/>
      <c r="J72" s="47"/>
      <c r="K72" s="47"/>
      <c r="L72" s="46" t="str">
        <f t="shared" si="15"/>
        <v>L(100)Eq</v>
      </c>
      <c r="M72" s="46"/>
      <c r="N72" s="49"/>
      <c r="O72" s="48"/>
      <c r="P72" s="49"/>
      <c r="R72" s="162" t="s">
        <v>136</v>
      </c>
      <c r="S72" s="162" t="s">
        <v>136</v>
      </c>
      <c r="T72" s="159"/>
      <c r="V72" s="12"/>
      <c r="W72" s="12"/>
      <c r="X72" s="12"/>
      <c r="Y72" s="12"/>
      <c r="Z72" s="12"/>
    </row>
    <row r="73" spans="2:26">
      <c r="B73" s="46" t="s">
        <v>1720</v>
      </c>
      <c r="C73" s="46" t="s">
        <v>1721</v>
      </c>
      <c r="D73" s="46" t="s">
        <v>13</v>
      </c>
      <c r="E73" s="47">
        <v>10</v>
      </c>
      <c r="F73" s="47"/>
      <c r="G73" s="46"/>
      <c r="H73" s="46"/>
      <c r="I73" s="47"/>
      <c r="J73" s="47"/>
      <c r="K73" s="47"/>
      <c r="L73" s="46" t="str">
        <f t="shared" si="15"/>
        <v>L(10)Eq</v>
      </c>
      <c r="M73" s="46"/>
      <c r="N73" s="49"/>
      <c r="O73" s="48"/>
      <c r="P73" s="49"/>
      <c r="R73" s="162" t="s">
        <v>136</v>
      </c>
      <c r="S73" s="162" t="s">
        <v>136</v>
      </c>
      <c r="T73" s="159"/>
      <c r="V73" s="12"/>
      <c r="W73" s="12"/>
      <c r="X73" s="12"/>
      <c r="Y73" s="12"/>
      <c r="Z73" s="12"/>
    </row>
    <row r="74" spans="2:26">
      <c r="B74" s="46" t="s">
        <v>1722</v>
      </c>
      <c r="C74" s="46" t="s">
        <v>1723</v>
      </c>
      <c r="D74" s="46" t="s">
        <v>64</v>
      </c>
      <c r="E74" s="47"/>
      <c r="F74" s="47"/>
      <c r="G74" s="46"/>
      <c r="H74" s="46"/>
      <c r="I74" s="47"/>
      <c r="J74" s="47"/>
      <c r="K74" s="47"/>
      <c r="L74" s="46">
        <v>0</v>
      </c>
      <c r="M74" s="46"/>
      <c r="N74" s="49"/>
      <c r="O74" s="48"/>
      <c r="P74" s="49"/>
      <c r="R74" s="162" t="s">
        <v>136</v>
      </c>
      <c r="S74" s="162" t="s">
        <v>136</v>
      </c>
      <c r="T74" s="159"/>
      <c r="V74" s="12"/>
      <c r="W74" s="12"/>
      <c r="X74" s="12"/>
      <c r="Y74" s="12"/>
      <c r="Z74" s="12"/>
    </row>
    <row r="75" spans="2:26">
      <c r="B75" s="46" t="s">
        <v>1724</v>
      </c>
      <c r="C75" s="46" t="s">
        <v>1725</v>
      </c>
      <c r="D75" s="46" t="s">
        <v>13</v>
      </c>
      <c r="E75" s="47">
        <v>20</v>
      </c>
      <c r="F75" s="47"/>
      <c r="G75" s="46"/>
      <c r="H75" s="46"/>
      <c r="I75" s="47"/>
      <c r="J75" s="47"/>
      <c r="K75" s="47"/>
      <c r="L75" s="46" t="str">
        <f t="shared" ref="L75" si="16">"L("&amp;E75&amp;")Eq"</f>
        <v>L(20)Eq</v>
      </c>
      <c r="M75" s="46" t="s">
        <v>959</v>
      </c>
      <c r="N75" s="49" t="s">
        <v>1724</v>
      </c>
      <c r="O75" s="48"/>
      <c r="P75" s="49"/>
      <c r="R75" s="162" t="s">
        <v>136</v>
      </c>
      <c r="S75" s="162" t="s">
        <v>136</v>
      </c>
      <c r="T75" s="159"/>
      <c r="V75" s="12"/>
      <c r="W75" s="12"/>
      <c r="X75" s="12"/>
      <c r="Y75" s="12"/>
      <c r="Z75" s="12"/>
    </row>
    <row r="76" spans="2:26">
      <c r="B76" s="46" t="s">
        <v>1726</v>
      </c>
      <c r="C76" s="46" t="s">
        <v>1727</v>
      </c>
      <c r="D76" s="46" t="s">
        <v>13</v>
      </c>
      <c r="E76" s="47" t="s">
        <v>48</v>
      </c>
      <c r="F76" s="47"/>
      <c r="G76" s="46"/>
      <c r="H76" s="46"/>
      <c r="I76" s="47"/>
      <c r="J76" s="47"/>
      <c r="K76" s="47"/>
      <c r="L76" s="46" t="s">
        <v>204</v>
      </c>
      <c r="M76" s="46"/>
      <c r="N76" s="49"/>
      <c r="O76" s="48"/>
      <c r="P76" s="49"/>
      <c r="R76" s="162" t="s">
        <v>136</v>
      </c>
      <c r="S76" s="162" t="s">
        <v>136</v>
      </c>
      <c r="T76" s="159"/>
      <c r="V76" s="12"/>
      <c r="W76" s="12"/>
      <c r="X76" s="12"/>
      <c r="Y76" s="12"/>
      <c r="Z76" s="12"/>
    </row>
    <row r="77" spans="2:26">
      <c r="B77" s="46" t="s">
        <v>1728</v>
      </c>
      <c r="C77" s="46" t="s">
        <v>1729</v>
      </c>
      <c r="D77" s="46" t="s">
        <v>193</v>
      </c>
      <c r="E77" s="47">
        <v>50</v>
      </c>
      <c r="F77" s="47"/>
      <c r="G77" s="46"/>
      <c r="H77" s="46"/>
      <c r="I77" s="47"/>
      <c r="J77" s="47"/>
      <c r="K77" s="47"/>
      <c r="L77" s="46" t="str">
        <f t="shared" ref="L77:L95" si="17">"L("&amp;E77&amp;")Eq"</f>
        <v>L(50)Eq</v>
      </c>
      <c r="M77" s="46"/>
      <c r="N77" s="49"/>
      <c r="O77" s="48"/>
      <c r="P77" s="49"/>
      <c r="R77" s="162" t="s">
        <v>136</v>
      </c>
      <c r="S77" s="162" t="s">
        <v>136</v>
      </c>
      <c r="T77" s="159"/>
      <c r="V77" s="12"/>
      <c r="W77" s="12"/>
      <c r="X77" s="12"/>
      <c r="Y77" s="12"/>
      <c r="Z77" s="12"/>
    </row>
    <row r="78" spans="2:26">
      <c r="B78" s="46" t="s">
        <v>1730</v>
      </c>
      <c r="C78" s="46" t="s">
        <v>1731</v>
      </c>
      <c r="D78" s="46" t="s">
        <v>13</v>
      </c>
      <c r="E78" s="47">
        <v>50</v>
      </c>
      <c r="F78" s="47"/>
      <c r="G78" s="46"/>
      <c r="H78" s="46"/>
      <c r="I78" s="47"/>
      <c r="J78" s="47"/>
      <c r="K78" s="47"/>
      <c r="L78" s="46" t="str">
        <f t="shared" si="17"/>
        <v>L(50)Eq</v>
      </c>
      <c r="M78" s="46"/>
      <c r="N78" s="49"/>
      <c r="O78" s="48"/>
      <c r="P78" s="49"/>
      <c r="R78" s="162" t="s">
        <v>136</v>
      </c>
      <c r="S78" s="162" t="s">
        <v>136</v>
      </c>
      <c r="T78" s="159"/>
      <c r="V78" s="12"/>
      <c r="W78" s="12"/>
      <c r="X78" s="12"/>
      <c r="Y78" s="12"/>
      <c r="Z78" s="12"/>
    </row>
    <row r="79" spans="2:26">
      <c r="B79" s="46" t="s">
        <v>1732</v>
      </c>
      <c r="C79" s="46" t="s">
        <v>1733</v>
      </c>
      <c r="D79" s="46" t="s">
        <v>13</v>
      </c>
      <c r="E79" s="47">
        <v>50</v>
      </c>
      <c r="F79" s="47"/>
      <c r="G79" s="46"/>
      <c r="H79" s="46"/>
      <c r="I79" s="47"/>
      <c r="J79" s="47"/>
      <c r="K79" s="47"/>
      <c r="L79" s="46" t="str">
        <f t="shared" si="17"/>
        <v>L(50)Eq</v>
      </c>
      <c r="M79" s="46"/>
      <c r="N79" s="49"/>
      <c r="O79" s="48"/>
      <c r="P79" s="49"/>
      <c r="R79" s="162" t="s">
        <v>136</v>
      </c>
      <c r="S79" s="162" t="s">
        <v>136</v>
      </c>
      <c r="T79" s="159"/>
      <c r="V79" s="12"/>
      <c r="W79" s="12"/>
      <c r="X79" s="12"/>
      <c r="Y79" s="12"/>
      <c r="Z79" s="12"/>
    </row>
    <row r="80" spans="2:26">
      <c r="B80" s="46" t="s">
        <v>1734</v>
      </c>
      <c r="C80" s="46" t="s">
        <v>1735</v>
      </c>
      <c r="D80" s="46" t="s">
        <v>13</v>
      </c>
      <c r="E80" s="47">
        <v>50</v>
      </c>
      <c r="F80" s="47"/>
      <c r="G80" s="46"/>
      <c r="H80" s="46"/>
      <c r="I80" s="47"/>
      <c r="J80" s="47"/>
      <c r="K80" s="47"/>
      <c r="L80" s="46" t="str">
        <f t="shared" si="17"/>
        <v>L(50)Eq</v>
      </c>
      <c r="M80" s="46"/>
      <c r="N80" s="49"/>
      <c r="O80" s="48"/>
      <c r="P80" s="49"/>
      <c r="R80" s="162" t="s">
        <v>136</v>
      </c>
      <c r="S80" s="162" t="s">
        <v>136</v>
      </c>
      <c r="T80" s="159"/>
      <c r="V80" s="12"/>
      <c r="W80" s="12"/>
      <c r="X80" s="12"/>
      <c r="Y80" s="12"/>
      <c r="Z80" s="12"/>
    </row>
    <row r="81" spans="2:26">
      <c r="B81" s="46" t="s">
        <v>1736</v>
      </c>
      <c r="C81" s="46" t="s">
        <v>1737</v>
      </c>
      <c r="D81" s="46" t="s">
        <v>13</v>
      </c>
      <c r="E81" s="47">
        <v>7</v>
      </c>
      <c r="F81" s="47"/>
      <c r="G81" s="46"/>
      <c r="H81" s="46"/>
      <c r="I81" s="47"/>
      <c r="J81" s="47"/>
      <c r="K81" s="47"/>
      <c r="L81" s="46" t="str">
        <f t="shared" si="17"/>
        <v>L(7)Eq</v>
      </c>
      <c r="M81" s="46"/>
      <c r="N81" s="49"/>
      <c r="O81" s="48"/>
      <c r="P81" s="49"/>
      <c r="R81" s="162" t="s">
        <v>136</v>
      </c>
      <c r="S81" s="162" t="s">
        <v>136</v>
      </c>
      <c r="T81" s="159"/>
      <c r="V81" s="12"/>
      <c r="W81" s="12"/>
      <c r="X81" s="12"/>
      <c r="Y81" s="12"/>
      <c r="Z81" s="12"/>
    </row>
    <row r="82" spans="2:26">
      <c r="B82" s="46" t="s">
        <v>1738</v>
      </c>
      <c r="C82" s="46" t="s">
        <v>1739</v>
      </c>
      <c r="D82" s="46" t="s">
        <v>193</v>
      </c>
      <c r="E82" s="47">
        <v>10</v>
      </c>
      <c r="F82" s="47"/>
      <c r="G82" s="46"/>
      <c r="H82" s="46"/>
      <c r="I82" s="47"/>
      <c r="J82" s="47"/>
      <c r="K82" s="47"/>
      <c r="L82" s="46" t="str">
        <f t="shared" si="17"/>
        <v>L(10)Eq</v>
      </c>
      <c r="M82" s="46"/>
      <c r="N82" s="49"/>
      <c r="O82" s="48"/>
      <c r="P82" s="49"/>
      <c r="R82" s="162" t="s">
        <v>136</v>
      </c>
      <c r="S82" s="162" t="s">
        <v>136</v>
      </c>
      <c r="T82" s="159"/>
      <c r="V82" s="12"/>
      <c r="W82" s="12"/>
      <c r="X82" s="12"/>
      <c r="Y82" s="12"/>
      <c r="Z82" s="12"/>
    </row>
    <row r="83" spans="2:26">
      <c r="B83" s="46" t="s">
        <v>1740</v>
      </c>
      <c r="C83" s="46" t="s">
        <v>1741</v>
      </c>
      <c r="D83" s="46" t="s">
        <v>193</v>
      </c>
      <c r="E83" s="47">
        <v>100</v>
      </c>
      <c r="F83" s="47"/>
      <c r="G83" s="46"/>
      <c r="H83" s="46"/>
      <c r="I83" s="47"/>
      <c r="J83" s="47"/>
      <c r="K83" s="47"/>
      <c r="L83" s="46" t="str">
        <f t="shared" si="17"/>
        <v>L(100)Eq</v>
      </c>
      <c r="M83" s="46"/>
      <c r="N83" s="49"/>
      <c r="O83" s="48"/>
      <c r="P83" s="49"/>
      <c r="R83" s="162" t="s">
        <v>136</v>
      </c>
      <c r="S83" s="162" t="s">
        <v>136</v>
      </c>
      <c r="T83" s="159"/>
      <c r="V83" s="12"/>
      <c r="W83" s="12"/>
      <c r="X83" s="12"/>
      <c r="Y83" s="12"/>
      <c r="Z83" s="12"/>
    </row>
    <row r="84" spans="2:26">
      <c r="B84" s="46" t="s">
        <v>1742</v>
      </c>
      <c r="C84" s="46" t="s">
        <v>1743</v>
      </c>
      <c r="D84" s="46" t="s">
        <v>193</v>
      </c>
      <c r="E84" s="47">
        <v>100</v>
      </c>
      <c r="F84" s="47"/>
      <c r="G84" s="46"/>
      <c r="H84" s="46"/>
      <c r="I84" s="47"/>
      <c r="J84" s="47"/>
      <c r="K84" s="47"/>
      <c r="L84" s="46" t="str">
        <f t="shared" si="17"/>
        <v>L(100)Eq</v>
      </c>
      <c r="M84" s="46"/>
      <c r="N84" s="49"/>
      <c r="O84" s="48"/>
      <c r="P84" s="49"/>
      <c r="R84" s="162" t="s">
        <v>136</v>
      </c>
      <c r="S84" s="162" t="s">
        <v>136</v>
      </c>
      <c r="T84" s="159"/>
      <c r="V84" s="12"/>
      <c r="W84" s="12"/>
      <c r="X84" s="12"/>
      <c r="Y84" s="12"/>
      <c r="Z84" s="12"/>
    </row>
    <row r="85" spans="2:26">
      <c r="B85" s="46" t="s">
        <v>1744</v>
      </c>
      <c r="C85" s="46" t="s">
        <v>1745</v>
      </c>
      <c r="D85" s="46" t="s">
        <v>193</v>
      </c>
      <c r="E85" s="47">
        <v>100</v>
      </c>
      <c r="F85" s="47"/>
      <c r="G85" s="46"/>
      <c r="H85" s="46"/>
      <c r="I85" s="47"/>
      <c r="J85" s="47"/>
      <c r="K85" s="47"/>
      <c r="L85" s="46" t="str">
        <f t="shared" si="17"/>
        <v>L(100)Eq</v>
      </c>
      <c r="M85" s="46"/>
      <c r="N85" s="49"/>
      <c r="O85" s="48"/>
      <c r="P85" s="49"/>
      <c r="R85" s="162" t="s">
        <v>136</v>
      </c>
      <c r="S85" s="162" t="s">
        <v>136</v>
      </c>
      <c r="T85" s="159"/>
      <c r="V85" s="12"/>
      <c r="W85" s="12"/>
      <c r="X85" s="12"/>
      <c r="Y85" s="12"/>
      <c r="Z85" s="12"/>
    </row>
    <row r="86" spans="2:26">
      <c r="B86" s="46" t="s">
        <v>1746</v>
      </c>
      <c r="C86" s="46" t="s">
        <v>1747</v>
      </c>
      <c r="D86" s="46" t="s">
        <v>13</v>
      </c>
      <c r="E86" s="47">
        <v>20</v>
      </c>
      <c r="F86" s="47"/>
      <c r="G86" s="46"/>
      <c r="H86" s="46"/>
      <c r="I86" s="47"/>
      <c r="J86" s="47"/>
      <c r="K86" s="47"/>
      <c r="L86" s="46" t="str">
        <f t="shared" si="17"/>
        <v>L(20)Eq</v>
      </c>
      <c r="M86" s="46"/>
      <c r="N86" s="49"/>
      <c r="O86" s="48"/>
      <c r="P86" s="49"/>
      <c r="R86" s="162" t="s">
        <v>136</v>
      </c>
      <c r="S86" s="162" t="s">
        <v>136</v>
      </c>
      <c r="T86" s="159"/>
      <c r="V86" s="12"/>
      <c r="W86" s="12"/>
      <c r="X86" s="12"/>
      <c r="Y86" s="12"/>
      <c r="Z86" s="12"/>
    </row>
    <row r="87" spans="2:26">
      <c r="B87" s="46" t="s">
        <v>1748</v>
      </c>
      <c r="C87" s="46" t="s">
        <v>1749</v>
      </c>
      <c r="D87" s="46" t="s">
        <v>13</v>
      </c>
      <c r="E87" s="47">
        <v>20</v>
      </c>
      <c r="F87" s="47"/>
      <c r="G87" s="46"/>
      <c r="H87" s="46"/>
      <c r="I87" s="47"/>
      <c r="J87" s="47"/>
      <c r="K87" s="47"/>
      <c r="L87" s="46" t="str">
        <f t="shared" si="17"/>
        <v>L(20)Eq</v>
      </c>
      <c r="M87" s="46"/>
      <c r="N87" s="49"/>
      <c r="O87" s="48"/>
      <c r="P87" s="49"/>
      <c r="R87" s="162" t="s">
        <v>136</v>
      </c>
      <c r="S87" s="162" t="s">
        <v>136</v>
      </c>
      <c r="T87" s="159"/>
      <c r="V87" s="12"/>
      <c r="W87" s="12"/>
      <c r="X87" s="12"/>
      <c r="Y87" s="12"/>
      <c r="Z87" s="12"/>
    </row>
    <row r="88" spans="2:26">
      <c r="B88" s="46" t="s">
        <v>1750</v>
      </c>
      <c r="C88" s="46" t="s">
        <v>1751</v>
      </c>
      <c r="D88" s="46" t="s">
        <v>13</v>
      </c>
      <c r="E88" s="47">
        <v>20</v>
      </c>
      <c r="F88" s="47"/>
      <c r="G88" s="46"/>
      <c r="H88" s="46"/>
      <c r="I88" s="47"/>
      <c r="J88" s="47"/>
      <c r="K88" s="47"/>
      <c r="L88" s="46" t="str">
        <f t="shared" si="17"/>
        <v>L(20)Eq</v>
      </c>
      <c r="M88" s="46"/>
      <c r="N88" s="49"/>
      <c r="O88" s="48"/>
      <c r="P88" s="49"/>
      <c r="R88" s="162" t="s">
        <v>136</v>
      </c>
      <c r="S88" s="162" t="s">
        <v>136</v>
      </c>
      <c r="T88" s="159"/>
      <c r="V88" s="12"/>
      <c r="W88" s="12"/>
      <c r="X88" s="12"/>
      <c r="Y88" s="12"/>
      <c r="Z88" s="12"/>
    </row>
    <row r="89" spans="2:26">
      <c r="B89" s="46" t="s">
        <v>1752</v>
      </c>
      <c r="C89" s="46" t="s">
        <v>1753</v>
      </c>
      <c r="D89" s="46" t="s">
        <v>193</v>
      </c>
      <c r="E89" s="47">
        <v>100</v>
      </c>
      <c r="F89" s="47"/>
      <c r="G89" s="46"/>
      <c r="H89" s="46"/>
      <c r="I89" s="47"/>
      <c r="J89" s="47"/>
      <c r="K89" s="47"/>
      <c r="L89" s="46" t="str">
        <f t="shared" si="17"/>
        <v>L(100)Eq</v>
      </c>
      <c r="M89" s="46"/>
      <c r="N89" s="49"/>
      <c r="O89" s="48"/>
      <c r="P89" s="49"/>
      <c r="R89" s="162" t="s">
        <v>136</v>
      </c>
      <c r="S89" s="162" t="s">
        <v>136</v>
      </c>
      <c r="T89" s="159"/>
      <c r="V89" s="12"/>
      <c r="W89" s="12"/>
      <c r="X89" s="12"/>
      <c r="Y89" s="12"/>
      <c r="Z89" s="12"/>
    </row>
    <row r="90" spans="2:26">
      <c r="B90" s="46" t="s">
        <v>1754</v>
      </c>
      <c r="C90" s="46" t="s">
        <v>1755</v>
      </c>
      <c r="D90" s="46" t="s">
        <v>13</v>
      </c>
      <c r="E90" s="47">
        <v>10</v>
      </c>
      <c r="F90" s="47"/>
      <c r="G90" s="46"/>
      <c r="H90" s="46"/>
      <c r="I90" s="47"/>
      <c r="J90" s="47"/>
      <c r="K90" s="47"/>
      <c r="L90" s="46" t="str">
        <f t="shared" si="17"/>
        <v>L(10)Eq</v>
      </c>
      <c r="M90" s="46"/>
      <c r="N90" s="49"/>
      <c r="O90" s="48"/>
      <c r="P90" s="49"/>
      <c r="R90" s="162" t="s">
        <v>136</v>
      </c>
      <c r="S90" s="162" t="s">
        <v>136</v>
      </c>
      <c r="T90" s="159"/>
      <c r="V90" s="12"/>
      <c r="W90" s="12"/>
      <c r="X90" s="12"/>
      <c r="Y90" s="12"/>
      <c r="Z90" s="12"/>
    </row>
    <row r="91" spans="2:26">
      <c r="B91" s="46" t="s">
        <v>1756</v>
      </c>
      <c r="C91" s="46" t="s">
        <v>1757</v>
      </c>
      <c r="D91" s="46" t="s">
        <v>13</v>
      </c>
      <c r="E91" s="47">
        <v>4</v>
      </c>
      <c r="F91" s="47"/>
      <c r="G91" s="46"/>
      <c r="H91" s="46"/>
      <c r="I91" s="47"/>
      <c r="J91" s="47"/>
      <c r="K91" s="47"/>
      <c r="L91" s="46" t="str">
        <f t="shared" si="17"/>
        <v>L(4)Eq</v>
      </c>
      <c r="M91" s="46"/>
      <c r="N91" s="49"/>
      <c r="O91" s="48"/>
      <c r="P91" s="49"/>
      <c r="R91" s="162" t="s">
        <v>136</v>
      </c>
      <c r="S91" s="162" t="s">
        <v>136</v>
      </c>
      <c r="T91" s="159"/>
      <c r="V91" s="12"/>
      <c r="W91" s="12"/>
      <c r="X91" s="12"/>
      <c r="Y91" s="12"/>
      <c r="Z91" s="12"/>
    </row>
    <row r="92" spans="2:26">
      <c r="B92" s="46" t="s">
        <v>1758</v>
      </c>
      <c r="C92" s="46" t="s">
        <v>1759</v>
      </c>
      <c r="D92" s="46" t="s">
        <v>13</v>
      </c>
      <c r="E92" s="47">
        <v>2</v>
      </c>
      <c r="F92" s="47"/>
      <c r="G92" s="46"/>
      <c r="H92" s="46"/>
      <c r="I92" s="47"/>
      <c r="J92" s="47"/>
      <c r="K92" s="47"/>
      <c r="L92" s="46" t="str">
        <f t="shared" si="17"/>
        <v>L(2)Eq</v>
      </c>
      <c r="M92" s="46"/>
      <c r="N92" s="49"/>
      <c r="O92" s="48"/>
      <c r="P92" s="49"/>
      <c r="R92" s="162" t="s">
        <v>136</v>
      </c>
      <c r="S92" s="162" t="s">
        <v>136</v>
      </c>
      <c r="T92" s="159"/>
      <c r="V92" s="12"/>
      <c r="W92" s="12"/>
      <c r="X92" s="12"/>
      <c r="Y92" s="12"/>
      <c r="Z92" s="12"/>
    </row>
    <row r="93" spans="2:26">
      <c r="B93" s="46" t="s">
        <v>1760</v>
      </c>
      <c r="C93" s="46" t="s">
        <v>1761</v>
      </c>
      <c r="D93" s="46" t="s">
        <v>13</v>
      </c>
      <c r="E93" s="47">
        <v>2</v>
      </c>
      <c r="F93" s="47"/>
      <c r="G93" s="46"/>
      <c r="H93" s="46"/>
      <c r="I93" s="47"/>
      <c r="J93" s="47"/>
      <c r="K93" s="47"/>
      <c r="L93" s="46" t="str">
        <f t="shared" si="17"/>
        <v>L(2)Eq</v>
      </c>
      <c r="M93" s="46"/>
      <c r="N93" s="49"/>
      <c r="O93" s="48"/>
      <c r="P93" s="49"/>
      <c r="R93" s="162" t="s">
        <v>136</v>
      </c>
      <c r="S93" s="162" t="s">
        <v>136</v>
      </c>
      <c r="T93" s="159"/>
      <c r="V93" s="12"/>
      <c r="W93" s="12"/>
      <c r="X93" s="12"/>
      <c r="Y93" s="12"/>
      <c r="Z93" s="12"/>
    </row>
    <row r="94" spans="2:26">
      <c r="B94" s="46" t="s">
        <v>1762</v>
      </c>
      <c r="C94" s="46" t="s">
        <v>1763</v>
      </c>
      <c r="D94" s="46" t="s">
        <v>230</v>
      </c>
      <c r="E94" s="47">
        <v>4</v>
      </c>
      <c r="F94" s="47"/>
      <c r="G94" s="46"/>
      <c r="H94" s="46"/>
      <c r="I94" s="47"/>
      <c r="J94" s="47"/>
      <c r="K94" s="47"/>
      <c r="L94" s="46">
        <v>0</v>
      </c>
      <c r="M94" s="46"/>
      <c r="N94" s="49"/>
      <c r="O94" s="48"/>
      <c r="P94" s="49"/>
      <c r="R94" s="162" t="s">
        <v>136</v>
      </c>
      <c r="S94" s="162" t="s">
        <v>136</v>
      </c>
      <c r="T94" s="159"/>
      <c r="V94" s="12"/>
      <c r="W94" s="12"/>
      <c r="X94" s="12"/>
      <c r="Y94" s="12"/>
      <c r="Z94" s="12"/>
    </row>
    <row r="95" spans="2:26">
      <c r="B95" s="46" t="s">
        <v>1764</v>
      </c>
      <c r="C95" s="46" t="s">
        <v>1765</v>
      </c>
      <c r="D95" s="46" t="s">
        <v>193</v>
      </c>
      <c r="E95" s="47">
        <v>100</v>
      </c>
      <c r="F95" s="47"/>
      <c r="G95" s="46"/>
      <c r="H95" s="46"/>
      <c r="I95" s="47"/>
      <c r="J95" s="47"/>
      <c r="K95" s="47"/>
      <c r="L95" s="46" t="str">
        <f t="shared" si="17"/>
        <v>L(100)Eq</v>
      </c>
      <c r="M95" s="46"/>
      <c r="N95" s="49"/>
      <c r="O95" s="48"/>
      <c r="P95" s="49"/>
      <c r="R95" s="162" t="s">
        <v>136</v>
      </c>
      <c r="S95" s="162" t="s">
        <v>136</v>
      </c>
      <c r="T95" s="159"/>
      <c r="V95" s="12"/>
      <c r="W95" s="12"/>
      <c r="X95" s="12"/>
      <c r="Y95" s="12"/>
      <c r="Z95" s="12"/>
    </row>
    <row r="96" spans="2:26">
      <c r="B96" s="46" t="s">
        <v>1766</v>
      </c>
      <c r="C96" s="46" t="s">
        <v>1767</v>
      </c>
      <c r="D96" s="46" t="s">
        <v>193</v>
      </c>
      <c r="E96" s="47">
        <v>100</v>
      </c>
      <c r="F96" s="47"/>
      <c r="G96" s="46"/>
      <c r="H96" s="46"/>
      <c r="I96" s="47"/>
      <c r="J96" s="47"/>
      <c r="K96" s="47"/>
      <c r="L96" s="46" t="str">
        <f t="shared" ref="L96:L104" si="18">"L("&amp;E96&amp;")Eq"</f>
        <v>L(100)Eq</v>
      </c>
      <c r="M96" s="46" t="s">
        <v>959</v>
      </c>
      <c r="N96" s="49" t="s">
        <v>1802</v>
      </c>
      <c r="O96" s="48"/>
      <c r="P96" s="49" t="s">
        <v>1810</v>
      </c>
      <c r="R96" s="162" t="s">
        <v>136</v>
      </c>
      <c r="S96" s="162" t="s">
        <v>136</v>
      </c>
      <c r="T96" s="159"/>
      <c r="V96" s="12"/>
      <c r="W96" s="12"/>
      <c r="X96" s="12"/>
      <c r="Y96" s="12"/>
      <c r="Z96" s="12"/>
    </row>
    <row r="97" spans="2:26">
      <c r="B97" s="46" t="s">
        <v>1768</v>
      </c>
      <c r="C97" s="46" t="s">
        <v>1769</v>
      </c>
      <c r="D97" s="46" t="s">
        <v>193</v>
      </c>
      <c r="E97" s="47">
        <v>100</v>
      </c>
      <c r="F97" s="47"/>
      <c r="G97" s="46"/>
      <c r="H97" s="46"/>
      <c r="I97" s="47"/>
      <c r="J97" s="47"/>
      <c r="K97" s="47"/>
      <c r="L97" s="46" t="str">
        <f t="shared" si="18"/>
        <v>L(100)Eq</v>
      </c>
      <c r="M97" s="46" t="s">
        <v>959</v>
      </c>
      <c r="N97" s="49" t="s">
        <v>1803</v>
      </c>
      <c r="O97" s="48"/>
      <c r="P97" s="49"/>
      <c r="R97" s="162" t="s">
        <v>136</v>
      </c>
      <c r="S97" s="162" t="s">
        <v>136</v>
      </c>
      <c r="T97" s="159"/>
      <c r="V97" s="12"/>
      <c r="W97" s="12"/>
      <c r="X97" s="12"/>
      <c r="Y97" s="12"/>
      <c r="Z97" s="12"/>
    </row>
    <row r="98" spans="2:26">
      <c r="B98" s="46" t="s">
        <v>1770</v>
      </c>
      <c r="C98" s="46" t="s">
        <v>1771</v>
      </c>
      <c r="D98" s="46" t="s">
        <v>13</v>
      </c>
      <c r="E98" s="47">
        <v>7</v>
      </c>
      <c r="F98" s="47"/>
      <c r="G98" s="46"/>
      <c r="H98" s="46"/>
      <c r="I98" s="47"/>
      <c r="J98" s="47"/>
      <c r="K98" s="47"/>
      <c r="L98" s="46" t="str">
        <f t="shared" si="18"/>
        <v>L(7)Eq</v>
      </c>
      <c r="M98" s="46"/>
      <c r="N98" s="49"/>
      <c r="O98" s="48"/>
      <c r="P98" s="49"/>
      <c r="R98" s="162" t="s">
        <v>136</v>
      </c>
      <c r="S98" s="162" t="s">
        <v>136</v>
      </c>
      <c r="T98" s="159"/>
      <c r="V98" s="12"/>
      <c r="W98" s="12"/>
      <c r="X98" s="12"/>
      <c r="Y98" s="12"/>
      <c r="Z98" s="12"/>
    </row>
    <row r="99" spans="2:26">
      <c r="B99" s="46" t="s">
        <v>1772</v>
      </c>
      <c r="C99" s="46" t="s">
        <v>1773</v>
      </c>
      <c r="D99" s="46" t="s">
        <v>193</v>
      </c>
      <c r="E99" s="47">
        <v>10</v>
      </c>
      <c r="F99" s="47"/>
      <c r="G99" s="46"/>
      <c r="H99" s="46"/>
      <c r="I99" s="47"/>
      <c r="J99" s="47"/>
      <c r="K99" s="47"/>
      <c r="L99" s="46" t="str">
        <f t="shared" si="18"/>
        <v>L(10)Eq</v>
      </c>
      <c r="M99" s="46"/>
      <c r="N99" s="49"/>
      <c r="O99" s="48"/>
      <c r="P99" s="49"/>
      <c r="R99" s="162" t="s">
        <v>136</v>
      </c>
      <c r="S99" s="162" t="s">
        <v>136</v>
      </c>
      <c r="T99" s="159"/>
      <c r="V99" s="12"/>
      <c r="W99" s="12"/>
      <c r="X99" s="12"/>
      <c r="Y99" s="12"/>
      <c r="Z99" s="12"/>
    </row>
    <row r="100" spans="2:26">
      <c r="B100" s="46" t="s">
        <v>1774</v>
      </c>
      <c r="C100" s="46" t="s">
        <v>1775</v>
      </c>
      <c r="D100" s="46" t="s">
        <v>193</v>
      </c>
      <c r="E100" s="47">
        <v>100</v>
      </c>
      <c r="F100" s="47"/>
      <c r="G100" s="46"/>
      <c r="H100" s="46"/>
      <c r="I100" s="47"/>
      <c r="J100" s="47"/>
      <c r="K100" s="47"/>
      <c r="L100" s="46" t="str">
        <f t="shared" si="18"/>
        <v>L(100)Eq</v>
      </c>
      <c r="M100" s="46"/>
      <c r="N100" s="49"/>
      <c r="O100" s="48"/>
      <c r="P100" s="49"/>
      <c r="R100" s="162" t="s">
        <v>136</v>
      </c>
      <c r="S100" s="162" t="s">
        <v>136</v>
      </c>
      <c r="T100" s="159"/>
      <c r="V100" s="12"/>
      <c r="W100" s="12"/>
      <c r="X100" s="12"/>
      <c r="Y100" s="12"/>
      <c r="Z100" s="12"/>
    </row>
    <row r="101" spans="2:26">
      <c r="B101" s="46" t="s">
        <v>1776</v>
      </c>
      <c r="C101" s="46" t="s">
        <v>1777</v>
      </c>
      <c r="D101" s="46" t="s">
        <v>193</v>
      </c>
      <c r="E101" s="47">
        <v>100</v>
      </c>
      <c r="F101" s="47"/>
      <c r="G101" s="46"/>
      <c r="H101" s="46"/>
      <c r="I101" s="47"/>
      <c r="J101" s="47"/>
      <c r="K101" s="47"/>
      <c r="L101" s="46" t="str">
        <f t="shared" si="18"/>
        <v>L(100)Eq</v>
      </c>
      <c r="M101" s="46"/>
      <c r="N101" s="49"/>
      <c r="O101" s="48"/>
      <c r="P101" s="49"/>
      <c r="R101" s="162" t="s">
        <v>136</v>
      </c>
      <c r="S101" s="162" t="s">
        <v>136</v>
      </c>
      <c r="T101" s="159"/>
      <c r="V101" s="12"/>
      <c r="W101" s="12"/>
      <c r="X101" s="12"/>
      <c r="Y101" s="12"/>
      <c r="Z101" s="12"/>
    </row>
    <row r="102" spans="2:26">
      <c r="B102" s="46" t="s">
        <v>1778</v>
      </c>
      <c r="C102" s="46" t="s">
        <v>1779</v>
      </c>
      <c r="D102" s="46" t="s">
        <v>193</v>
      </c>
      <c r="E102" s="47">
        <v>100</v>
      </c>
      <c r="F102" s="47"/>
      <c r="G102" s="46"/>
      <c r="H102" s="46"/>
      <c r="I102" s="47"/>
      <c r="J102" s="47"/>
      <c r="K102" s="47"/>
      <c r="L102" s="46" t="str">
        <f t="shared" si="18"/>
        <v>L(100)Eq</v>
      </c>
      <c r="M102" s="46"/>
      <c r="N102" s="49"/>
      <c r="O102" s="48"/>
      <c r="P102" s="49"/>
      <c r="R102" s="162" t="s">
        <v>136</v>
      </c>
      <c r="S102" s="162" t="s">
        <v>136</v>
      </c>
      <c r="T102" s="159"/>
      <c r="V102" s="12"/>
      <c r="W102" s="12"/>
      <c r="X102" s="12"/>
      <c r="Y102" s="12"/>
      <c r="Z102" s="12"/>
    </row>
    <row r="103" spans="2:26">
      <c r="B103" s="46" t="s">
        <v>1780</v>
      </c>
      <c r="C103" s="46" t="s">
        <v>1781</v>
      </c>
      <c r="D103" s="46" t="s">
        <v>13</v>
      </c>
      <c r="E103" s="47">
        <v>20</v>
      </c>
      <c r="F103" s="47"/>
      <c r="G103" s="46"/>
      <c r="H103" s="46"/>
      <c r="I103" s="47"/>
      <c r="J103" s="47"/>
      <c r="K103" s="47"/>
      <c r="L103" s="46" t="str">
        <f t="shared" si="18"/>
        <v>L(20)Eq</v>
      </c>
      <c r="M103" s="46"/>
      <c r="N103" s="49"/>
      <c r="O103" s="48"/>
      <c r="P103" s="49"/>
      <c r="R103" s="162" t="s">
        <v>136</v>
      </c>
      <c r="S103" s="162" t="s">
        <v>136</v>
      </c>
      <c r="T103" s="159"/>
      <c r="V103" s="12"/>
      <c r="W103" s="12"/>
      <c r="X103" s="12"/>
      <c r="Y103" s="12"/>
      <c r="Z103" s="12"/>
    </row>
    <row r="104" spans="2:26">
      <c r="B104" s="46" t="s">
        <v>1782</v>
      </c>
      <c r="C104" s="46" t="s">
        <v>1783</v>
      </c>
      <c r="D104" s="46" t="s">
        <v>13</v>
      </c>
      <c r="E104" s="47">
        <v>20</v>
      </c>
      <c r="F104" s="47"/>
      <c r="G104" s="46"/>
      <c r="H104" s="46"/>
      <c r="I104" s="47"/>
      <c r="J104" s="47"/>
      <c r="K104" s="47"/>
      <c r="L104" s="46" t="str">
        <f t="shared" si="18"/>
        <v>L(20)Eq</v>
      </c>
      <c r="M104" s="46"/>
      <c r="N104" s="49"/>
      <c r="O104" s="48"/>
      <c r="P104" s="49"/>
      <c r="R104" s="162" t="s">
        <v>136</v>
      </c>
      <c r="S104" s="162" t="s">
        <v>136</v>
      </c>
      <c r="T104" s="159"/>
      <c r="V104" s="12"/>
      <c r="W104" s="12"/>
      <c r="X104" s="12"/>
      <c r="Y104" s="12"/>
      <c r="Z104" s="12"/>
    </row>
    <row r="105" spans="2:26">
      <c r="B105" s="46" t="s">
        <v>1784</v>
      </c>
      <c r="C105" s="46" t="s">
        <v>1785</v>
      </c>
      <c r="D105" s="46" t="s">
        <v>193</v>
      </c>
      <c r="E105" s="47">
        <v>255</v>
      </c>
      <c r="F105" s="47"/>
      <c r="G105" s="46"/>
      <c r="H105" s="46"/>
      <c r="I105" s="47"/>
      <c r="J105" s="47"/>
      <c r="K105" s="47"/>
      <c r="L105" s="46" t="s">
        <v>194</v>
      </c>
      <c r="M105" s="46" t="s">
        <v>158</v>
      </c>
      <c r="N105" s="49"/>
      <c r="O105" s="48"/>
      <c r="P105" s="49"/>
      <c r="R105" s="162" t="s">
        <v>136</v>
      </c>
      <c r="S105" s="162" t="s">
        <v>136</v>
      </c>
      <c r="T105" s="159"/>
      <c r="V105" s="12"/>
      <c r="W105" s="12"/>
      <c r="X105" s="12"/>
      <c r="Y105" s="12"/>
      <c r="Z105" s="12"/>
    </row>
    <row r="106" spans="2:26">
      <c r="B106" s="46" t="s">
        <v>1786</v>
      </c>
      <c r="C106" s="46" t="s">
        <v>1787</v>
      </c>
      <c r="D106" s="46" t="s">
        <v>193</v>
      </c>
      <c r="E106" s="47">
        <v>255</v>
      </c>
      <c r="F106" s="47"/>
      <c r="G106" s="46"/>
      <c r="H106" s="46"/>
      <c r="I106" s="47"/>
      <c r="J106" s="47"/>
      <c r="K106" s="47"/>
      <c r="L106" s="46" t="s">
        <v>194</v>
      </c>
      <c r="M106" s="46" t="s">
        <v>158</v>
      </c>
      <c r="N106" s="49"/>
      <c r="O106" s="48"/>
      <c r="P106" s="49"/>
      <c r="R106" s="162" t="s">
        <v>136</v>
      </c>
      <c r="S106" s="162" t="s">
        <v>136</v>
      </c>
      <c r="T106" s="159"/>
      <c r="V106" s="12"/>
      <c r="W106" s="12"/>
      <c r="X106" s="12"/>
      <c r="Y106" s="12"/>
      <c r="Z106" s="12"/>
    </row>
    <row r="107" spans="2:26">
      <c r="B107" s="46" t="s">
        <v>1788</v>
      </c>
      <c r="C107" s="46" t="s">
        <v>1789</v>
      </c>
      <c r="D107" s="46" t="s">
        <v>193</v>
      </c>
      <c r="E107" s="47">
        <v>255</v>
      </c>
      <c r="F107" s="47"/>
      <c r="G107" s="46"/>
      <c r="H107" s="46"/>
      <c r="I107" s="47"/>
      <c r="J107" s="47"/>
      <c r="K107" s="47"/>
      <c r="L107" s="46" t="s">
        <v>194</v>
      </c>
      <c r="M107" s="46" t="s">
        <v>158</v>
      </c>
      <c r="N107" s="49"/>
      <c r="O107" s="48"/>
      <c r="P107" s="49"/>
      <c r="R107" s="162" t="s">
        <v>136</v>
      </c>
      <c r="S107" s="162" t="s">
        <v>136</v>
      </c>
      <c r="T107" s="159"/>
      <c r="V107" s="12"/>
      <c r="W107" s="12"/>
      <c r="X107" s="12"/>
      <c r="Y107" s="12"/>
      <c r="Z107" s="12"/>
    </row>
    <row r="108" spans="2:26">
      <c r="B108" s="46" t="s">
        <v>252</v>
      </c>
      <c r="C108" s="46" t="s">
        <v>253</v>
      </c>
      <c r="D108" s="46" t="s">
        <v>193</v>
      </c>
      <c r="E108" s="47">
        <v>100</v>
      </c>
      <c r="F108" s="47"/>
      <c r="G108" s="46"/>
      <c r="H108" s="46"/>
      <c r="I108" s="47"/>
      <c r="J108" s="47"/>
      <c r="K108" s="47"/>
      <c r="L108" s="46" t="s">
        <v>254</v>
      </c>
      <c r="M108" s="46" t="s">
        <v>158</v>
      </c>
      <c r="N108" s="49" t="s">
        <v>1804</v>
      </c>
      <c r="O108" s="48"/>
      <c r="P108" s="49"/>
      <c r="R108" s="162" t="s">
        <v>136</v>
      </c>
      <c r="S108" s="162" t="s">
        <v>136</v>
      </c>
      <c r="T108" s="159"/>
      <c r="V108" s="12"/>
      <c r="W108" s="12"/>
      <c r="X108" s="12"/>
      <c r="Y108" s="12"/>
      <c r="Z108" s="12"/>
    </row>
    <row r="109" spans="2:26">
      <c r="B109" s="46" t="s">
        <v>255</v>
      </c>
      <c r="C109" s="46" t="s">
        <v>256</v>
      </c>
      <c r="D109" s="46" t="s">
        <v>193</v>
      </c>
      <c r="E109" s="47">
        <v>100</v>
      </c>
      <c r="F109" s="47"/>
      <c r="G109" s="46"/>
      <c r="H109" s="46"/>
      <c r="I109" s="47"/>
      <c r="J109" s="47"/>
      <c r="K109" s="47"/>
      <c r="L109" s="46" t="s">
        <v>254</v>
      </c>
      <c r="M109" s="46" t="s">
        <v>158</v>
      </c>
      <c r="N109" s="49" t="s">
        <v>1805</v>
      </c>
      <c r="O109" s="48"/>
      <c r="P109" s="49"/>
      <c r="R109" s="162" t="s">
        <v>136</v>
      </c>
      <c r="S109" s="162" t="s">
        <v>136</v>
      </c>
      <c r="T109" s="159"/>
      <c r="V109" s="12"/>
      <c r="W109" s="12"/>
      <c r="X109" s="12"/>
      <c r="Y109" s="12"/>
      <c r="Z109" s="12"/>
    </row>
    <row r="110" spans="2:26">
      <c r="B110" s="46" t="s">
        <v>257</v>
      </c>
      <c r="C110" s="46" t="s">
        <v>258</v>
      </c>
      <c r="D110" s="46" t="s">
        <v>193</v>
      </c>
      <c r="E110" s="47">
        <v>100</v>
      </c>
      <c r="F110" s="47"/>
      <c r="G110" s="46"/>
      <c r="H110" s="46"/>
      <c r="I110" s="47"/>
      <c r="J110" s="47"/>
      <c r="K110" s="47"/>
      <c r="L110" s="46" t="s">
        <v>254</v>
      </c>
      <c r="M110" s="46"/>
      <c r="N110" s="49"/>
      <c r="O110" s="48"/>
      <c r="P110" s="49" t="s">
        <v>1810</v>
      </c>
      <c r="R110" s="162" t="s">
        <v>136</v>
      </c>
      <c r="S110" s="162" t="s">
        <v>136</v>
      </c>
      <c r="T110" s="159"/>
      <c r="V110" s="12"/>
      <c r="W110" s="12"/>
      <c r="X110" s="12"/>
      <c r="Y110" s="12"/>
      <c r="Z110" s="12"/>
    </row>
    <row r="111" spans="2:26">
      <c r="B111" s="46" t="s">
        <v>259</v>
      </c>
      <c r="C111" s="46" t="s">
        <v>260</v>
      </c>
      <c r="D111" s="46" t="s">
        <v>193</v>
      </c>
      <c r="E111" s="47">
        <v>100</v>
      </c>
      <c r="F111" s="47"/>
      <c r="G111" s="46"/>
      <c r="H111" s="46"/>
      <c r="I111" s="47"/>
      <c r="J111" s="47"/>
      <c r="K111" s="47"/>
      <c r="L111" s="46" t="str">
        <f t="shared" ref="L111:L117" si="19">"L("&amp;E111&amp;")Eq"</f>
        <v>L(100)Eq</v>
      </c>
      <c r="M111" s="46" t="s">
        <v>959</v>
      </c>
      <c r="N111" s="49" t="s">
        <v>1313</v>
      </c>
      <c r="O111" s="48"/>
      <c r="P111" s="49" t="s">
        <v>1811</v>
      </c>
      <c r="R111" s="162" t="s">
        <v>136</v>
      </c>
      <c r="S111" s="162" t="s">
        <v>136</v>
      </c>
      <c r="T111" s="159"/>
      <c r="V111" s="12"/>
      <c r="W111" s="12"/>
      <c r="X111" s="12"/>
      <c r="Y111" s="12"/>
      <c r="Z111" s="12"/>
    </row>
    <row r="112" spans="2:26">
      <c r="B112" s="46" t="s">
        <v>261</v>
      </c>
      <c r="C112" s="46" t="s">
        <v>262</v>
      </c>
      <c r="D112" s="46" t="s">
        <v>193</v>
      </c>
      <c r="E112" s="47">
        <v>100</v>
      </c>
      <c r="F112" s="47"/>
      <c r="G112" s="46"/>
      <c r="H112" s="46"/>
      <c r="I112" s="47"/>
      <c r="J112" s="47"/>
      <c r="K112" s="47"/>
      <c r="L112" s="46" t="str">
        <f t="shared" si="19"/>
        <v>L(100)Eq</v>
      </c>
      <c r="M112" s="46" t="s">
        <v>959</v>
      </c>
      <c r="N112" s="49" t="s">
        <v>1806</v>
      </c>
      <c r="O112" s="48"/>
      <c r="P112" s="49" t="s">
        <v>1812</v>
      </c>
      <c r="R112" s="162" t="s">
        <v>136</v>
      </c>
      <c r="S112" s="162" t="s">
        <v>136</v>
      </c>
      <c r="T112" s="159"/>
      <c r="V112" s="12"/>
      <c r="W112" s="12"/>
      <c r="X112" s="12"/>
      <c r="Y112" s="12"/>
      <c r="Z112" s="12"/>
    </row>
    <row r="113" spans="2:26">
      <c r="B113" s="46" t="s">
        <v>900</v>
      </c>
      <c r="C113" s="46" t="s">
        <v>901</v>
      </c>
      <c r="D113" s="46" t="s">
        <v>193</v>
      </c>
      <c r="E113" s="47">
        <v>100</v>
      </c>
      <c r="F113" s="47"/>
      <c r="G113" s="46"/>
      <c r="H113" s="46"/>
      <c r="I113" s="47"/>
      <c r="J113" s="47"/>
      <c r="K113" s="47"/>
      <c r="L113" s="46" t="str">
        <f t="shared" si="19"/>
        <v>L(100)Eq</v>
      </c>
      <c r="M113" s="46" t="s">
        <v>959</v>
      </c>
      <c r="N113" s="49" t="s">
        <v>1807</v>
      </c>
      <c r="O113" s="48"/>
      <c r="P113" s="49" t="s">
        <v>1904</v>
      </c>
      <c r="R113" s="162" t="s">
        <v>136</v>
      </c>
      <c r="S113" s="162" t="s">
        <v>136</v>
      </c>
      <c r="T113" s="159"/>
      <c r="V113" s="12"/>
      <c r="W113" s="12"/>
      <c r="X113" s="12"/>
      <c r="Y113" s="12"/>
      <c r="Z113" s="12"/>
    </row>
    <row r="114" spans="2:26">
      <c r="B114" s="46" t="s">
        <v>902</v>
      </c>
      <c r="C114" s="46" t="s">
        <v>903</v>
      </c>
      <c r="D114" s="46" t="s">
        <v>193</v>
      </c>
      <c r="E114" s="47">
        <v>100</v>
      </c>
      <c r="F114" s="47"/>
      <c r="G114" s="46"/>
      <c r="H114" s="46"/>
      <c r="I114" s="47"/>
      <c r="J114" s="47"/>
      <c r="K114" s="47"/>
      <c r="L114" s="46" t="str">
        <f t="shared" si="19"/>
        <v>L(100)Eq</v>
      </c>
      <c r="M114" s="46" t="s">
        <v>959</v>
      </c>
      <c r="N114" s="49" t="s">
        <v>1808</v>
      </c>
      <c r="O114" s="48"/>
      <c r="P114" s="49" t="s">
        <v>1903</v>
      </c>
      <c r="R114" s="162" t="s">
        <v>136</v>
      </c>
      <c r="S114" s="162" t="s">
        <v>136</v>
      </c>
      <c r="T114" s="159"/>
      <c r="V114" s="12"/>
      <c r="W114" s="12"/>
      <c r="X114" s="12"/>
      <c r="Y114" s="12"/>
      <c r="Z114" s="12"/>
    </row>
    <row r="115" spans="2:26">
      <c r="B115" s="46" t="s">
        <v>904</v>
      </c>
      <c r="C115" s="46" t="s">
        <v>905</v>
      </c>
      <c r="D115" s="46" t="s">
        <v>193</v>
      </c>
      <c r="E115" s="47">
        <v>100</v>
      </c>
      <c r="F115" s="47"/>
      <c r="G115" s="46"/>
      <c r="H115" s="46"/>
      <c r="I115" s="47"/>
      <c r="J115" s="47"/>
      <c r="K115" s="47"/>
      <c r="L115" s="46" t="str">
        <f t="shared" si="19"/>
        <v>L(100)Eq</v>
      </c>
      <c r="M115" s="46"/>
      <c r="N115" s="49"/>
      <c r="O115" s="48"/>
      <c r="P115" s="49"/>
      <c r="R115" s="162" t="s">
        <v>136</v>
      </c>
      <c r="S115" s="162" t="s">
        <v>136</v>
      </c>
      <c r="T115" s="159"/>
      <c r="V115" s="12"/>
      <c r="W115" s="12"/>
      <c r="X115" s="12"/>
      <c r="Y115" s="12"/>
      <c r="Z115" s="12"/>
    </row>
    <row r="116" spans="2:26">
      <c r="B116" s="46" t="s">
        <v>906</v>
      </c>
      <c r="C116" s="46" t="s">
        <v>907</v>
      </c>
      <c r="D116" s="46" t="s">
        <v>193</v>
      </c>
      <c r="E116" s="47">
        <v>100</v>
      </c>
      <c r="F116" s="47"/>
      <c r="G116" s="46"/>
      <c r="H116" s="46"/>
      <c r="I116" s="47"/>
      <c r="J116" s="47"/>
      <c r="K116" s="47"/>
      <c r="L116" s="46" t="str">
        <f t="shared" si="19"/>
        <v>L(100)Eq</v>
      </c>
      <c r="M116" s="46"/>
      <c r="N116" s="49"/>
      <c r="O116" s="48"/>
      <c r="P116" s="49"/>
      <c r="R116" s="162" t="s">
        <v>136</v>
      </c>
      <c r="S116" s="162" t="s">
        <v>136</v>
      </c>
      <c r="T116" s="159"/>
      <c r="V116" s="12"/>
      <c r="W116" s="12"/>
      <c r="X116" s="12"/>
      <c r="Y116" s="12"/>
      <c r="Z116" s="12"/>
    </row>
    <row r="117" spans="2:26">
      <c r="B117" s="46" t="s">
        <v>908</v>
      </c>
      <c r="C117" s="46" t="s">
        <v>909</v>
      </c>
      <c r="D117" s="46" t="s">
        <v>193</v>
      </c>
      <c r="E117" s="47">
        <v>100</v>
      </c>
      <c r="F117" s="47"/>
      <c r="G117" s="46"/>
      <c r="H117" s="46"/>
      <c r="I117" s="47"/>
      <c r="J117" s="47"/>
      <c r="K117" s="47"/>
      <c r="L117" s="46" t="str">
        <f t="shared" si="19"/>
        <v>L(100)Eq</v>
      </c>
      <c r="M117" s="46"/>
      <c r="N117" s="49"/>
      <c r="O117" s="48"/>
      <c r="P117" s="49"/>
      <c r="R117" s="162" t="s">
        <v>136</v>
      </c>
      <c r="S117" s="162" t="s">
        <v>136</v>
      </c>
      <c r="T117" s="159"/>
      <c r="V117" s="12"/>
      <c r="W117" s="12"/>
      <c r="X117" s="12"/>
      <c r="Y117" s="12"/>
      <c r="Z117" s="12"/>
    </row>
    <row r="118" spans="2:26">
      <c r="B118" s="46" t="s">
        <v>330</v>
      </c>
      <c r="C118" s="46" t="s">
        <v>331</v>
      </c>
      <c r="D118" s="46" t="s">
        <v>13</v>
      </c>
      <c r="E118" s="47" t="s">
        <v>48</v>
      </c>
      <c r="F118" s="47"/>
      <c r="G118" s="46"/>
      <c r="H118" s="46"/>
      <c r="I118" s="47"/>
      <c r="J118" s="47"/>
      <c r="K118" s="47"/>
      <c r="L118" s="46" t="s">
        <v>204</v>
      </c>
      <c r="M118" s="46" t="s">
        <v>158</v>
      </c>
      <c r="N118" s="49"/>
      <c r="O118" s="48"/>
      <c r="P118" s="49"/>
      <c r="R118" s="162" t="s">
        <v>136</v>
      </c>
      <c r="S118" s="162" t="s">
        <v>136</v>
      </c>
      <c r="T118" s="159"/>
      <c r="V118" s="12"/>
      <c r="W118" s="12"/>
      <c r="X118" s="12"/>
      <c r="Y118" s="12"/>
      <c r="Z118" s="12"/>
    </row>
    <row r="119" spans="2:26">
      <c r="B119" s="46" t="s">
        <v>332</v>
      </c>
      <c r="C119" s="46" t="s">
        <v>333</v>
      </c>
      <c r="D119" s="46" t="s">
        <v>13</v>
      </c>
      <c r="E119" s="47" t="s">
        <v>48</v>
      </c>
      <c r="F119" s="47"/>
      <c r="G119" s="46"/>
      <c r="H119" s="46"/>
      <c r="I119" s="47"/>
      <c r="J119" s="47"/>
      <c r="K119" s="47"/>
      <c r="L119" s="46" t="s">
        <v>204</v>
      </c>
      <c r="M119" s="46" t="s">
        <v>158</v>
      </c>
      <c r="N119" s="49"/>
      <c r="O119" s="48"/>
      <c r="P119" s="49"/>
      <c r="R119" s="162" t="s">
        <v>136</v>
      </c>
      <c r="S119" s="162" t="s">
        <v>136</v>
      </c>
      <c r="T119" s="159"/>
      <c r="V119" s="12"/>
      <c r="W119" s="12"/>
      <c r="X119" s="12"/>
      <c r="Y119" s="12"/>
      <c r="Z119" s="12"/>
    </row>
    <row r="120" spans="2:26">
      <c r="B120" s="46" t="s">
        <v>334</v>
      </c>
      <c r="C120" s="46" t="s">
        <v>335</v>
      </c>
      <c r="D120" s="46" t="s">
        <v>13</v>
      </c>
      <c r="E120" s="47" t="s">
        <v>48</v>
      </c>
      <c r="F120" s="47"/>
      <c r="G120" s="46"/>
      <c r="H120" s="46"/>
      <c r="I120" s="47"/>
      <c r="J120" s="47"/>
      <c r="K120" s="47"/>
      <c r="L120" s="46" t="s">
        <v>204</v>
      </c>
      <c r="M120" s="46" t="s">
        <v>158</v>
      </c>
      <c r="N120" s="49"/>
      <c r="O120" s="48"/>
      <c r="P120" s="49"/>
      <c r="R120" s="162" t="s">
        <v>136</v>
      </c>
      <c r="S120" s="162" t="s">
        <v>136</v>
      </c>
      <c r="T120" s="159"/>
      <c r="V120" s="12"/>
      <c r="W120" s="12"/>
      <c r="X120" s="12"/>
      <c r="Y120" s="12"/>
      <c r="Z120" s="12"/>
    </row>
    <row r="121" spans="2:26">
      <c r="B121" s="46" t="s">
        <v>43</v>
      </c>
      <c r="C121" s="46" t="s">
        <v>16</v>
      </c>
      <c r="D121" s="46" t="s">
        <v>17</v>
      </c>
      <c r="E121" s="47">
        <v>8</v>
      </c>
      <c r="F121" s="47"/>
      <c r="G121" s="46" t="s">
        <v>1793</v>
      </c>
      <c r="H121" s="46"/>
      <c r="I121" s="47"/>
      <c r="J121" s="47"/>
      <c r="K121" s="47"/>
      <c r="L121" s="46" t="s">
        <v>1794</v>
      </c>
      <c r="M121" s="46" t="s">
        <v>14</v>
      </c>
      <c r="N121" s="49"/>
      <c r="O121" s="48"/>
      <c r="P121" s="49" t="s">
        <v>1813</v>
      </c>
      <c r="R121" s="162" t="s">
        <v>136</v>
      </c>
      <c r="S121" s="162" t="s">
        <v>136</v>
      </c>
      <c r="T121" s="159"/>
      <c r="V121" s="12"/>
      <c r="W121" s="12"/>
      <c r="X121" s="12"/>
      <c r="Y121" s="12"/>
      <c r="Z121" s="12"/>
    </row>
    <row r="122" spans="2:26">
      <c r="B122" s="46" t="s">
        <v>44</v>
      </c>
      <c r="C122" s="46" t="s">
        <v>18</v>
      </c>
      <c r="D122" s="46" t="s">
        <v>17</v>
      </c>
      <c r="E122" s="47">
        <v>8</v>
      </c>
      <c r="F122" s="47"/>
      <c r="G122" s="46" t="s">
        <v>1793</v>
      </c>
      <c r="H122" s="46"/>
      <c r="I122" s="47"/>
      <c r="J122" s="47"/>
      <c r="K122" s="47"/>
      <c r="L122" s="46" t="s">
        <v>1794</v>
      </c>
      <c r="M122" s="46" t="s">
        <v>14</v>
      </c>
      <c r="N122" s="49"/>
      <c r="O122" s="48"/>
      <c r="P122" s="49" t="s">
        <v>1814</v>
      </c>
      <c r="R122" s="162" t="s">
        <v>136</v>
      </c>
      <c r="S122" s="162" t="s">
        <v>136</v>
      </c>
      <c r="T122" s="159"/>
      <c r="V122" s="12"/>
      <c r="W122" s="12"/>
      <c r="X122" s="12"/>
      <c r="Y122" s="12"/>
      <c r="Z122" s="12"/>
    </row>
    <row r="123" spans="2:26">
      <c r="B123" s="46" t="s">
        <v>19</v>
      </c>
      <c r="C123" s="46" t="s">
        <v>20</v>
      </c>
      <c r="D123" s="46" t="s">
        <v>13</v>
      </c>
      <c r="E123" s="47">
        <v>40</v>
      </c>
      <c r="F123" s="47"/>
      <c r="G123" s="46"/>
      <c r="H123" s="46"/>
      <c r="I123" s="47"/>
      <c r="J123" s="47"/>
      <c r="K123" s="47"/>
      <c r="L123" s="46" t="s">
        <v>211</v>
      </c>
      <c r="M123" s="46" t="s">
        <v>14</v>
      </c>
      <c r="N123" s="49"/>
      <c r="O123" s="48"/>
      <c r="P123" s="49" t="s">
        <v>1813</v>
      </c>
      <c r="R123" s="162" t="s">
        <v>136</v>
      </c>
      <c r="S123" s="162" t="s">
        <v>136</v>
      </c>
      <c r="T123" s="159"/>
      <c r="V123" s="12"/>
      <c r="W123" s="12"/>
      <c r="X123" s="12"/>
      <c r="Y123" s="12"/>
      <c r="Z123" s="12"/>
    </row>
    <row r="124" spans="2:26">
      <c r="B124" s="46" t="s">
        <v>21</v>
      </c>
      <c r="C124" s="46" t="s">
        <v>22</v>
      </c>
      <c r="D124" s="46" t="s">
        <v>13</v>
      </c>
      <c r="E124" s="47">
        <v>40</v>
      </c>
      <c r="F124" s="47"/>
      <c r="G124" s="46"/>
      <c r="H124" s="46"/>
      <c r="I124" s="47"/>
      <c r="J124" s="47"/>
      <c r="K124" s="47"/>
      <c r="L124" s="46" t="s">
        <v>211</v>
      </c>
      <c r="M124" s="46" t="s">
        <v>14</v>
      </c>
      <c r="N124" s="49"/>
      <c r="O124" s="48"/>
      <c r="P124" s="49" t="s">
        <v>1814</v>
      </c>
      <c r="R124" s="162" t="s">
        <v>136</v>
      </c>
      <c r="S124" s="162" t="s">
        <v>136</v>
      </c>
      <c r="T124" s="159"/>
      <c r="V124" s="12"/>
      <c r="W124" s="12"/>
      <c r="X124" s="12"/>
      <c r="Y124" s="12"/>
      <c r="Z124" s="12"/>
    </row>
    <row r="125" spans="2:26">
      <c r="B125" s="46" t="s">
        <v>45</v>
      </c>
      <c r="C125" s="46" t="s">
        <v>46</v>
      </c>
      <c r="D125" s="46" t="s">
        <v>13</v>
      </c>
      <c r="E125" s="47">
        <v>10</v>
      </c>
      <c r="F125" s="47"/>
      <c r="G125" s="46"/>
      <c r="H125" s="46"/>
      <c r="I125" s="47"/>
      <c r="J125" s="47"/>
      <c r="K125" s="47"/>
      <c r="L125" s="46" t="s">
        <v>1795</v>
      </c>
      <c r="M125" s="46" t="s">
        <v>14</v>
      </c>
      <c r="N125" s="49" t="s">
        <v>1809</v>
      </c>
      <c r="O125" s="48"/>
      <c r="P125" s="49" t="s">
        <v>1815</v>
      </c>
      <c r="R125" s="162" t="s">
        <v>136</v>
      </c>
      <c r="S125" s="162" t="s">
        <v>136</v>
      </c>
      <c r="T125" s="159"/>
      <c r="V125" s="12"/>
      <c r="W125" s="12"/>
      <c r="X125" s="12"/>
      <c r="Y125" s="12"/>
      <c r="Z125" s="12"/>
    </row>
  </sheetData>
  <mergeCells count="4">
    <mergeCell ref="D5:F5"/>
    <mergeCell ref="H5:P5"/>
    <mergeCell ref="D6:F6"/>
    <mergeCell ref="H6:P6"/>
  </mergeCells>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A3820-0E49-4599-A56F-603680FC5F40}">
  <sheetPr>
    <tabColor theme="7" tint="0.79998168889431442"/>
  </sheetPr>
  <dimension ref="A2:Z125"/>
  <sheetViews>
    <sheetView showGridLines="0" workbookViewId="0"/>
  </sheetViews>
  <sheetFormatPr defaultRowHeight="15"/>
  <cols>
    <col min="1" max="1" width="2.54296875" customWidth="1"/>
    <col min="2" max="3" width="22.81640625" customWidth="1"/>
    <col min="4" max="4" width="7.1796875" bestFit="1" customWidth="1"/>
    <col min="5" max="5" width="5.1796875" customWidth="1"/>
    <col min="6" max="6" width="4.453125" customWidth="1"/>
    <col min="7" max="7" width="15.36328125" customWidth="1"/>
    <col min="8" max="8" width="4.453125" customWidth="1"/>
    <col min="9" max="9" width="3.08984375" bestFit="1" customWidth="1"/>
    <col min="10" max="10" width="3.1796875" bestFit="1" customWidth="1"/>
    <col min="11" max="11" width="3" bestFit="1" customWidth="1"/>
    <col min="12" max="12" width="12" bestFit="1" customWidth="1"/>
    <col min="13" max="13" width="4.453125" customWidth="1"/>
    <col min="14" max="14" width="30.453125" customWidth="1"/>
    <col min="15" max="15" width="27.36328125" customWidth="1"/>
    <col min="16" max="16" width="33.36328125" customWidth="1"/>
    <col min="17" max="17" width="2.36328125" customWidth="1"/>
    <col min="19" max="23" width="20.6328125" customWidth="1"/>
  </cols>
  <sheetData>
    <row r="2" spans="1:26">
      <c r="A2" s="6"/>
      <c r="B2" s="7" t="s">
        <v>38</v>
      </c>
      <c r="C2" s="6"/>
      <c r="D2" s="6"/>
      <c r="E2" s="6"/>
      <c r="F2" s="6"/>
      <c r="G2" s="6"/>
      <c r="H2" s="6"/>
      <c r="I2" s="6"/>
      <c r="J2" s="6"/>
      <c r="K2" s="6"/>
      <c r="L2" s="6"/>
      <c r="M2" s="6"/>
      <c r="N2" s="6"/>
      <c r="O2" s="6"/>
      <c r="P2" s="6"/>
      <c r="Q2" s="6"/>
      <c r="R2" s="6"/>
      <c r="S2" s="6"/>
      <c r="T2" s="6"/>
      <c r="U2" s="6"/>
      <c r="V2" s="6"/>
      <c r="W2" s="6"/>
      <c r="X2" s="6"/>
      <c r="Y2" s="6"/>
      <c r="Z2" s="6"/>
    </row>
    <row r="3" spans="1:26" ht="7.5" customHeight="1">
      <c r="A3" s="1"/>
      <c r="B3" s="1"/>
      <c r="C3" s="1"/>
      <c r="D3" s="1"/>
      <c r="E3" s="1"/>
      <c r="F3" s="1"/>
      <c r="G3" s="1"/>
      <c r="H3" s="1"/>
      <c r="I3" s="1"/>
      <c r="J3" s="1"/>
      <c r="K3" s="1"/>
      <c r="L3" s="1"/>
      <c r="M3" s="1"/>
      <c r="N3" s="1"/>
      <c r="O3" s="1"/>
      <c r="P3" s="1"/>
      <c r="Q3" s="1"/>
      <c r="R3" s="1"/>
      <c r="S3" s="1"/>
      <c r="T3" s="1"/>
      <c r="U3" s="1"/>
      <c r="V3" s="1"/>
      <c r="W3" s="1"/>
      <c r="X3" s="1"/>
      <c r="Y3" s="1"/>
      <c r="Z3" s="1"/>
    </row>
    <row r="5" spans="1:26">
      <c r="B5" s="8" t="s">
        <v>30</v>
      </c>
      <c r="C5" s="8" t="s">
        <v>31</v>
      </c>
      <c r="D5" s="234" t="s">
        <v>37</v>
      </c>
      <c r="E5" s="235"/>
      <c r="F5" s="236"/>
      <c r="G5" s="8" t="s">
        <v>74</v>
      </c>
      <c r="H5" s="234" t="s">
        <v>85</v>
      </c>
      <c r="I5" s="235"/>
      <c r="J5" s="235"/>
      <c r="K5" s="235"/>
      <c r="L5" s="235"/>
      <c r="M5" s="235"/>
      <c r="N5" s="235"/>
      <c r="O5" s="235"/>
      <c r="P5" s="236"/>
    </row>
    <row r="6" spans="1:26">
      <c r="B6" s="2" t="s">
        <v>1817</v>
      </c>
      <c r="C6" s="2" t="s">
        <v>1819</v>
      </c>
      <c r="D6" s="237" t="s">
        <v>93</v>
      </c>
      <c r="E6" s="238"/>
      <c r="F6" s="239"/>
      <c r="G6" s="45" t="s">
        <v>75</v>
      </c>
      <c r="H6" s="240" t="s">
        <v>1821</v>
      </c>
      <c r="I6" s="241"/>
      <c r="J6" s="241"/>
      <c r="K6" s="241"/>
      <c r="L6" s="241"/>
      <c r="M6" s="241"/>
      <c r="N6" s="241"/>
      <c r="O6" s="241"/>
      <c r="P6" s="242"/>
      <c r="S6" t="s">
        <v>108</v>
      </c>
    </row>
    <row r="8" spans="1:26">
      <c r="B8" s="17" t="s">
        <v>32</v>
      </c>
      <c r="C8" s="17" t="s">
        <v>33</v>
      </c>
      <c r="D8" s="17" t="s">
        <v>34</v>
      </c>
      <c r="E8" s="109" t="s">
        <v>10</v>
      </c>
      <c r="F8" s="110" t="s">
        <v>23</v>
      </c>
      <c r="G8" s="110" t="s">
        <v>24</v>
      </c>
      <c r="H8" s="110" t="s">
        <v>25</v>
      </c>
      <c r="I8" s="110" t="s">
        <v>26</v>
      </c>
      <c r="J8" s="110" t="s">
        <v>27</v>
      </c>
      <c r="K8" s="110" t="s">
        <v>28</v>
      </c>
      <c r="L8" s="110" t="s">
        <v>29</v>
      </c>
      <c r="M8" s="110" t="s">
        <v>11</v>
      </c>
      <c r="N8" s="17" t="s">
        <v>35</v>
      </c>
      <c r="O8" s="17" t="s">
        <v>36</v>
      </c>
      <c r="P8" s="17" t="s">
        <v>12</v>
      </c>
      <c r="S8" s="8" t="s">
        <v>107</v>
      </c>
      <c r="T8" s="8" t="s">
        <v>107</v>
      </c>
      <c r="U8" s="8" t="s">
        <v>107</v>
      </c>
      <c r="V8" s="8" t="s">
        <v>107</v>
      </c>
      <c r="W8" s="8" t="s">
        <v>107</v>
      </c>
    </row>
    <row r="9" spans="1:26">
      <c r="B9" s="85" t="s">
        <v>1856</v>
      </c>
      <c r="C9" s="85" t="s">
        <v>509</v>
      </c>
      <c r="D9" s="85" t="s">
        <v>13</v>
      </c>
      <c r="E9" s="84">
        <v>40</v>
      </c>
      <c r="F9" s="84"/>
      <c r="G9" s="85" t="s">
        <v>1790</v>
      </c>
      <c r="H9" s="85"/>
      <c r="I9" s="84" t="s">
        <v>14</v>
      </c>
      <c r="J9" s="84"/>
      <c r="K9" s="84"/>
      <c r="L9" s="85"/>
      <c r="M9" s="85" t="s">
        <v>14</v>
      </c>
      <c r="N9" s="87" t="s">
        <v>1796</v>
      </c>
      <c r="O9" s="87"/>
      <c r="P9" s="87"/>
      <c r="S9" s="12"/>
      <c r="T9" s="12"/>
      <c r="U9" s="12"/>
      <c r="V9" s="12"/>
      <c r="W9" s="12"/>
    </row>
    <row r="10" spans="1:26">
      <c r="B10" s="46" t="s">
        <v>1608</v>
      </c>
      <c r="C10" s="46" t="s">
        <v>176</v>
      </c>
      <c r="D10" s="46" t="s">
        <v>13</v>
      </c>
      <c r="E10" s="47">
        <v>40</v>
      </c>
      <c r="F10" s="47"/>
      <c r="G10" s="46"/>
      <c r="H10" s="46"/>
      <c r="I10" s="47"/>
      <c r="J10" s="47"/>
      <c r="K10" s="47"/>
      <c r="L10" s="46" t="s">
        <v>1791</v>
      </c>
      <c r="M10" s="46" t="s">
        <v>14</v>
      </c>
      <c r="N10" s="49" t="s">
        <v>1796</v>
      </c>
      <c r="O10" s="49"/>
      <c r="P10" s="49"/>
      <c r="S10" s="12"/>
      <c r="T10" s="12"/>
      <c r="U10" s="12"/>
      <c r="V10" s="12"/>
      <c r="W10" s="12"/>
    </row>
    <row r="11" spans="1:26">
      <c r="B11" s="46" t="s">
        <v>41</v>
      </c>
      <c r="C11" s="46" t="s">
        <v>42</v>
      </c>
      <c r="D11" s="46" t="s">
        <v>13</v>
      </c>
      <c r="E11" s="47">
        <v>8</v>
      </c>
      <c r="F11" s="47"/>
      <c r="G11" s="46"/>
      <c r="H11" s="46"/>
      <c r="I11" s="47"/>
      <c r="J11" s="47"/>
      <c r="K11" s="47"/>
      <c r="L11" s="46" t="s">
        <v>1792</v>
      </c>
      <c r="M11" s="46" t="s">
        <v>14</v>
      </c>
      <c r="N11" s="49"/>
      <c r="O11" s="48"/>
      <c r="P11" s="49"/>
      <c r="S11" s="12"/>
      <c r="T11" s="12"/>
      <c r="U11" s="12"/>
      <c r="V11" s="12"/>
      <c r="W11" s="12"/>
    </row>
    <row r="12" spans="1:26">
      <c r="B12" s="46" t="s">
        <v>1609</v>
      </c>
      <c r="C12" s="46" t="s">
        <v>181</v>
      </c>
      <c r="D12" s="46" t="s">
        <v>13</v>
      </c>
      <c r="E12" s="47">
        <v>8</v>
      </c>
      <c r="F12" s="47"/>
      <c r="G12" s="46"/>
      <c r="H12" s="46"/>
      <c r="I12" s="47"/>
      <c r="J12" s="47"/>
      <c r="K12" s="47"/>
      <c r="L12" s="46" t="s">
        <v>1792</v>
      </c>
      <c r="M12" s="46" t="s">
        <v>14</v>
      </c>
      <c r="N12" s="49"/>
      <c r="O12" s="49"/>
      <c r="P12" s="49"/>
      <c r="S12" s="12"/>
      <c r="T12" s="12"/>
      <c r="U12" s="12"/>
      <c r="V12" s="12"/>
      <c r="W12" s="12"/>
    </row>
    <row r="13" spans="1:26">
      <c r="B13" s="46" t="s">
        <v>1610</v>
      </c>
      <c r="C13" s="46" t="s">
        <v>531</v>
      </c>
      <c r="D13" s="46" t="s">
        <v>13</v>
      </c>
      <c r="E13" s="47">
        <v>40</v>
      </c>
      <c r="F13" s="47"/>
      <c r="G13" s="46"/>
      <c r="H13" s="46"/>
      <c r="I13" s="47"/>
      <c r="J13" s="47"/>
      <c r="K13" s="47" t="s">
        <v>14</v>
      </c>
      <c r="L13" s="46" t="s">
        <v>1791</v>
      </c>
      <c r="M13" s="46" t="s">
        <v>14</v>
      </c>
      <c r="N13" s="49" t="s">
        <v>1797</v>
      </c>
      <c r="O13" s="139"/>
      <c r="P13" s="49"/>
      <c r="S13" s="12"/>
      <c r="T13" s="12"/>
      <c r="U13" s="12"/>
      <c r="V13" s="12"/>
      <c r="W13" s="12"/>
    </row>
    <row r="14" spans="1:26">
      <c r="B14" s="46" t="s">
        <v>1611</v>
      </c>
      <c r="C14" s="140" t="s">
        <v>1612</v>
      </c>
      <c r="D14" s="46" t="s">
        <v>13</v>
      </c>
      <c r="E14" s="47">
        <v>40</v>
      </c>
      <c r="F14" s="47"/>
      <c r="G14" s="46"/>
      <c r="H14" s="46"/>
      <c r="I14" s="47"/>
      <c r="J14" s="47"/>
      <c r="K14" s="47"/>
      <c r="L14" s="46" t="str">
        <f>"L("&amp;E14&amp;")Eq"</f>
        <v>L(40)Eq</v>
      </c>
      <c r="M14" s="46"/>
      <c r="N14" s="49"/>
      <c r="O14" s="48"/>
      <c r="P14" s="48"/>
      <c r="S14" s="12"/>
      <c r="T14" s="12"/>
      <c r="U14" s="12"/>
      <c r="V14" s="12"/>
      <c r="W14" s="12"/>
    </row>
    <row r="15" spans="1:26">
      <c r="B15" s="46" t="s">
        <v>1613</v>
      </c>
      <c r="C15" s="46" t="s">
        <v>1614</v>
      </c>
      <c r="D15" s="46" t="s">
        <v>13</v>
      </c>
      <c r="E15" s="47">
        <v>40</v>
      </c>
      <c r="F15" s="47"/>
      <c r="G15" s="46"/>
      <c r="H15" s="46"/>
      <c r="I15" s="47"/>
      <c r="J15" s="47"/>
      <c r="K15" s="47"/>
      <c r="L15" s="46" t="str">
        <f t="shared" ref="L15:L25" si="0">"L("&amp;E15&amp;")Eq"</f>
        <v>L(40)Eq</v>
      </c>
      <c r="M15" s="46"/>
      <c r="N15" s="48"/>
      <c r="O15" s="49"/>
      <c r="P15" s="48"/>
      <c r="S15" s="12"/>
      <c r="T15" s="12"/>
      <c r="U15" s="12"/>
      <c r="V15" s="12"/>
      <c r="W15" s="12"/>
    </row>
    <row r="16" spans="1:26">
      <c r="B16" s="46" t="s">
        <v>1615</v>
      </c>
      <c r="C16" s="46" t="s">
        <v>1616</v>
      </c>
      <c r="D16" s="46" t="s">
        <v>13</v>
      </c>
      <c r="E16" s="47">
        <v>100</v>
      </c>
      <c r="F16" s="47"/>
      <c r="G16" s="46"/>
      <c r="H16" s="46"/>
      <c r="I16" s="47"/>
      <c r="J16" s="47"/>
      <c r="K16" s="47"/>
      <c r="L16" s="46" t="str">
        <f t="shared" si="0"/>
        <v>L(100)Eq</v>
      </c>
      <c r="M16" s="46"/>
      <c r="N16" s="48"/>
      <c r="O16" s="49"/>
      <c r="P16" s="48"/>
      <c r="S16" s="12"/>
      <c r="T16" s="12"/>
      <c r="U16" s="12"/>
      <c r="V16" s="12"/>
      <c r="W16" s="12"/>
    </row>
    <row r="17" spans="2:23">
      <c r="B17" s="46" t="s">
        <v>1617</v>
      </c>
      <c r="C17" s="46" t="s">
        <v>1618</v>
      </c>
      <c r="D17" s="46" t="s">
        <v>13</v>
      </c>
      <c r="E17" s="47">
        <v>40</v>
      </c>
      <c r="F17" s="47"/>
      <c r="G17" s="46"/>
      <c r="H17" s="46"/>
      <c r="I17" s="47"/>
      <c r="J17" s="47"/>
      <c r="K17" s="47"/>
      <c r="L17" s="46" t="str">
        <f t="shared" si="0"/>
        <v>L(40)Eq</v>
      </c>
      <c r="M17" s="46" t="s">
        <v>959</v>
      </c>
      <c r="N17" s="49" t="s">
        <v>1798</v>
      </c>
      <c r="O17" s="48"/>
      <c r="P17" s="49"/>
      <c r="S17" s="12"/>
      <c r="T17" s="12"/>
      <c r="U17" s="12"/>
      <c r="V17" s="12"/>
      <c r="W17" s="12"/>
    </row>
    <row r="18" spans="2:23">
      <c r="B18" s="46" t="s">
        <v>1619</v>
      </c>
      <c r="C18" s="46" t="s">
        <v>1620</v>
      </c>
      <c r="D18" s="46" t="s">
        <v>13</v>
      </c>
      <c r="E18" s="47">
        <v>100</v>
      </c>
      <c r="F18" s="47"/>
      <c r="G18" s="46"/>
      <c r="H18" s="46"/>
      <c r="I18" s="47"/>
      <c r="J18" s="47"/>
      <c r="K18" s="47"/>
      <c r="L18" s="46" t="str">
        <f t="shared" si="0"/>
        <v>L(100)Eq</v>
      </c>
      <c r="M18" s="46"/>
      <c r="N18" s="48"/>
      <c r="O18" s="48"/>
      <c r="P18" s="49"/>
      <c r="S18" s="12"/>
      <c r="T18" s="12"/>
      <c r="U18" s="12"/>
      <c r="V18" s="12"/>
      <c r="W18" s="12"/>
    </row>
    <row r="19" spans="2:23">
      <c r="B19" s="46" t="s">
        <v>1621</v>
      </c>
      <c r="C19" s="46" t="s">
        <v>1622</v>
      </c>
      <c r="D19" s="46" t="s">
        <v>13</v>
      </c>
      <c r="E19" s="47">
        <v>40</v>
      </c>
      <c r="F19" s="47"/>
      <c r="G19" s="46"/>
      <c r="H19" s="46"/>
      <c r="I19" s="47"/>
      <c r="J19" s="47"/>
      <c r="K19" s="47"/>
      <c r="L19" s="46" t="str">
        <f t="shared" si="0"/>
        <v>L(40)Eq</v>
      </c>
      <c r="M19" s="46"/>
      <c r="N19" s="48"/>
      <c r="O19" s="49"/>
      <c r="P19" s="49"/>
      <c r="S19" s="12"/>
      <c r="T19" s="12"/>
      <c r="U19" s="12"/>
      <c r="V19" s="12"/>
      <c r="W19" s="12"/>
    </row>
    <row r="20" spans="2:23">
      <c r="B20" s="46" t="s">
        <v>1623</v>
      </c>
      <c r="C20" s="46" t="s">
        <v>1624</v>
      </c>
      <c r="D20" s="46" t="s">
        <v>13</v>
      </c>
      <c r="E20" s="47">
        <v>100</v>
      </c>
      <c r="F20" s="47"/>
      <c r="G20" s="46"/>
      <c r="H20" s="46"/>
      <c r="I20" s="47"/>
      <c r="J20" s="47"/>
      <c r="K20" s="47"/>
      <c r="L20" s="46" t="str">
        <f t="shared" si="0"/>
        <v>L(100)Eq</v>
      </c>
      <c r="M20" s="46"/>
      <c r="N20" s="48"/>
      <c r="O20" s="49"/>
      <c r="P20" s="49"/>
      <c r="S20" s="12"/>
      <c r="T20" s="12"/>
      <c r="U20" s="12"/>
      <c r="V20" s="12"/>
      <c r="W20" s="12"/>
    </row>
    <row r="21" spans="2:23">
      <c r="B21" s="46" t="s">
        <v>1625</v>
      </c>
      <c r="C21" s="46" t="s">
        <v>1626</v>
      </c>
      <c r="D21" s="46" t="s">
        <v>13</v>
      </c>
      <c r="E21" s="47">
        <v>40</v>
      </c>
      <c r="F21" s="47"/>
      <c r="G21" s="54"/>
      <c r="H21" s="46"/>
      <c r="I21" s="47"/>
      <c r="J21" s="47"/>
      <c r="K21" s="47"/>
      <c r="L21" s="46" t="str">
        <f t="shared" si="0"/>
        <v>L(40)Eq</v>
      </c>
      <c r="M21" s="46"/>
      <c r="N21" s="49"/>
      <c r="O21" s="49"/>
      <c r="P21" s="49"/>
      <c r="S21" s="12"/>
      <c r="T21" s="12"/>
      <c r="U21" s="12"/>
      <c r="V21" s="12"/>
      <c r="W21" s="12"/>
    </row>
    <row r="22" spans="2:23">
      <c r="B22" s="46" t="s">
        <v>1627</v>
      </c>
      <c r="C22" s="46" t="s">
        <v>1628</v>
      </c>
      <c r="D22" s="46" t="s">
        <v>13</v>
      </c>
      <c r="E22" s="47">
        <v>100</v>
      </c>
      <c r="F22" s="47"/>
      <c r="G22" s="54"/>
      <c r="H22" s="46"/>
      <c r="I22" s="47"/>
      <c r="J22" s="47"/>
      <c r="K22" s="47"/>
      <c r="L22" s="46" t="str">
        <f t="shared" si="0"/>
        <v>L(100)Eq</v>
      </c>
      <c r="M22" s="46"/>
      <c r="N22" s="49"/>
      <c r="O22" s="49"/>
      <c r="P22" s="49"/>
      <c r="S22" s="12"/>
      <c r="T22" s="12"/>
      <c r="U22" s="12"/>
      <c r="V22" s="12"/>
      <c r="W22" s="12"/>
    </row>
    <row r="23" spans="2:23">
      <c r="B23" s="46" t="s">
        <v>1629</v>
      </c>
      <c r="C23" s="46" t="s">
        <v>1630</v>
      </c>
      <c r="D23" s="46" t="s">
        <v>13</v>
      </c>
      <c r="E23" s="47">
        <v>40</v>
      </c>
      <c r="F23" s="47"/>
      <c r="G23" s="46"/>
      <c r="H23" s="46"/>
      <c r="I23" s="47"/>
      <c r="J23" s="47"/>
      <c r="K23" s="47"/>
      <c r="L23" s="46" t="str">
        <f t="shared" si="0"/>
        <v>L(40)Eq</v>
      </c>
      <c r="M23" s="46"/>
      <c r="N23" s="49"/>
      <c r="O23" s="49"/>
      <c r="P23" s="49"/>
      <c r="S23" s="12"/>
      <c r="T23" s="12"/>
      <c r="U23" s="12"/>
      <c r="V23" s="12"/>
      <c r="W23" s="12"/>
    </row>
    <row r="24" spans="2:23">
      <c r="B24" s="46" t="s">
        <v>1631</v>
      </c>
      <c r="C24" s="46" t="s">
        <v>1632</v>
      </c>
      <c r="D24" s="46" t="s">
        <v>13</v>
      </c>
      <c r="E24" s="47">
        <v>100</v>
      </c>
      <c r="F24" s="47"/>
      <c r="G24" s="46"/>
      <c r="H24" s="46"/>
      <c r="I24" s="47"/>
      <c r="J24" s="47"/>
      <c r="K24" s="47"/>
      <c r="L24" s="46" t="str">
        <f t="shared" si="0"/>
        <v>L(100)Eq</v>
      </c>
      <c r="M24" s="46"/>
      <c r="N24" s="49"/>
      <c r="O24" s="49"/>
      <c r="P24" s="49"/>
      <c r="S24" s="12"/>
      <c r="T24" s="12"/>
      <c r="U24" s="12"/>
      <c r="V24" s="12"/>
      <c r="W24" s="12"/>
    </row>
    <row r="25" spans="2:23">
      <c r="B25" s="46" t="s">
        <v>1633</v>
      </c>
      <c r="C25" s="46" t="s">
        <v>1634</v>
      </c>
      <c r="D25" s="46" t="s">
        <v>13</v>
      </c>
      <c r="E25" s="47">
        <v>10</v>
      </c>
      <c r="F25" s="47"/>
      <c r="G25" s="46"/>
      <c r="H25" s="46"/>
      <c r="I25" s="47"/>
      <c r="J25" s="47"/>
      <c r="K25" s="47"/>
      <c r="L25" s="46" t="str">
        <f t="shared" si="0"/>
        <v>L(10)Eq</v>
      </c>
      <c r="M25" s="46"/>
      <c r="N25" s="49" t="s">
        <v>1799</v>
      </c>
      <c r="O25" s="48"/>
      <c r="P25" s="49"/>
      <c r="S25" s="12"/>
      <c r="T25" s="12"/>
      <c r="U25" s="12"/>
      <c r="V25" s="12"/>
      <c r="W25" s="12"/>
    </row>
    <row r="26" spans="2:23">
      <c r="B26" s="46" t="s">
        <v>15</v>
      </c>
      <c r="C26" s="46" t="s">
        <v>431</v>
      </c>
      <c r="D26" s="46" t="s">
        <v>13</v>
      </c>
      <c r="E26" s="47" t="s">
        <v>48</v>
      </c>
      <c r="F26" s="47"/>
      <c r="G26" s="46"/>
      <c r="H26" s="46"/>
      <c r="I26" s="47"/>
      <c r="J26" s="47"/>
      <c r="K26" s="47"/>
      <c r="L26" s="46" t="s">
        <v>204</v>
      </c>
      <c r="M26" s="46" t="s">
        <v>14</v>
      </c>
      <c r="N26" s="49"/>
      <c r="O26" s="48"/>
      <c r="P26" s="49"/>
      <c r="S26" s="12"/>
      <c r="T26" s="12"/>
      <c r="U26" s="12"/>
      <c r="V26" s="12"/>
      <c r="W26" s="12"/>
    </row>
    <row r="27" spans="2:23">
      <c r="B27" s="46" t="s">
        <v>1635</v>
      </c>
      <c r="C27" s="46" t="s">
        <v>425</v>
      </c>
      <c r="D27" s="46" t="s">
        <v>13</v>
      </c>
      <c r="E27" s="47" t="s">
        <v>48</v>
      </c>
      <c r="F27" s="47"/>
      <c r="G27" s="46"/>
      <c r="H27" s="46"/>
      <c r="I27" s="47"/>
      <c r="J27" s="47"/>
      <c r="K27" s="47"/>
      <c r="L27" s="46" t="s">
        <v>812</v>
      </c>
      <c r="M27" s="46" t="s">
        <v>158</v>
      </c>
      <c r="N27" s="49"/>
      <c r="O27" s="48"/>
      <c r="P27" s="49"/>
      <c r="S27" s="12"/>
      <c r="T27" s="12"/>
      <c r="U27" s="12"/>
      <c r="V27" s="12"/>
      <c r="W27" s="12"/>
    </row>
    <row r="28" spans="2:23">
      <c r="B28" s="46" t="s">
        <v>1636</v>
      </c>
      <c r="C28" s="46" t="s">
        <v>1637</v>
      </c>
      <c r="D28" s="46" t="s">
        <v>13</v>
      </c>
      <c r="E28" s="47">
        <v>40</v>
      </c>
      <c r="F28" s="47"/>
      <c r="G28" s="46"/>
      <c r="H28" s="46"/>
      <c r="I28" s="47"/>
      <c r="J28" s="47"/>
      <c r="K28" s="47"/>
      <c r="L28" s="46" t="str">
        <f t="shared" ref="L28" si="1">"L("&amp;E28&amp;")Eq"</f>
        <v>L(40)Eq</v>
      </c>
      <c r="M28" s="46"/>
      <c r="N28" s="49"/>
      <c r="O28" s="48"/>
      <c r="P28" s="49"/>
      <c r="S28" s="12"/>
      <c r="T28" s="12"/>
      <c r="U28" s="12"/>
      <c r="V28" s="12"/>
      <c r="W28" s="12"/>
    </row>
    <row r="29" spans="2:23">
      <c r="B29" s="46" t="s">
        <v>338</v>
      </c>
      <c r="C29" s="46" t="s">
        <v>1638</v>
      </c>
      <c r="D29" s="46" t="s">
        <v>13</v>
      </c>
      <c r="E29" s="47" t="s">
        <v>48</v>
      </c>
      <c r="F29" s="47"/>
      <c r="G29" s="46"/>
      <c r="H29" s="46"/>
      <c r="I29" s="47"/>
      <c r="J29" s="47"/>
      <c r="K29" s="47"/>
      <c r="L29" s="46" t="s">
        <v>812</v>
      </c>
      <c r="M29" s="46" t="s">
        <v>14</v>
      </c>
      <c r="N29" s="49" t="s">
        <v>338</v>
      </c>
      <c r="O29" s="48"/>
      <c r="P29" s="49"/>
      <c r="S29" s="12"/>
      <c r="T29" s="12"/>
      <c r="U29" s="12"/>
      <c r="V29" s="12"/>
      <c r="W29" s="12"/>
    </row>
    <row r="30" spans="2:23">
      <c r="B30" s="46" t="s">
        <v>964</v>
      </c>
      <c r="C30" s="46" t="s">
        <v>965</v>
      </c>
      <c r="D30" s="46" t="s">
        <v>13</v>
      </c>
      <c r="E30" s="47">
        <v>255</v>
      </c>
      <c r="F30" s="47"/>
      <c r="G30" s="46"/>
      <c r="H30" s="46"/>
      <c r="I30" s="47"/>
      <c r="J30" s="47"/>
      <c r="K30" s="47"/>
      <c r="L30" s="46" t="s">
        <v>194</v>
      </c>
      <c r="M30" s="46" t="s">
        <v>959</v>
      </c>
      <c r="N30" s="49" t="s">
        <v>964</v>
      </c>
      <c r="O30" s="48"/>
      <c r="P30" s="49"/>
      <c r="S30" s="12"/>
      <c r="T30" s="12"/>
      <c r="U30" s="12"/>
      <c r="V30" s="12"/>
      <c r="W30" s="12"/>
    </row>
    <row r="31" spans="2:23">
      <c r="B31" s="46" t="s">
        <v>1639</v>
      </c>
      <c r="C31" s="46" t="s">
        <v>1640</v>
      </c>
      <c r="D31" s="46" t="s">
        <v>13</v>
      </c>
      <c r="E31" s="47">
        <v>10</v>
      </c>
      <c r="F31" s="47"/>
      <c r="G31" s="46"/>
      <c r="H31" s="46"/>
      <c r="I31" s="47"/>
      <c r="J31" s="47"/>
      <c r="K31" s="47"/>
      <c r="L31" s="46" t="str">
        <f t="shared" ref="L31:L37" si="2">"L("&amp;E31&amp;")Eq"</f>
        <v>L(10)Eq</v>
      </c>
      <c r="M31" s="46"/>
      <c r="N31" s="49"/>
      <c r="O31" s="48"/>
      <c r="P31" s="49"/>
      <c r="S31" s="12"/>
      <c r="T31" s="12"/>
      <c r="U31" s="12"/>
      <c r="V31" s="12"/>
      <c r="W31" s="12"/>
    </row>
    <row r="32" spans="2:23">
      <c r="B32" s="46" t="s">
        <v>1641</v>
      </c>
      <c r="C32" s="46" t="s">
        <v>1642</v>
      </c>
      <c r="D32" s="46" t="s">
        <v>13</v>
      </c>
      <c r="E32" s="47">
        <v>255</v>
      </c>
      <c r="F32" s="47"/>
      <c r="G32" s="46"/>
      <c r="H32" s="46"/>
      <c r="I32" s="47"/>
      <c r="J32" s="47"/>
      <c r="K32" s="47"/>
      <c r="L32" s="46" t="str">
        <f t="shared" si="2"/>
        <v>L(255)Eq</v>
      </c>
      <c r="M32" s="46" t="s">
        <v>959</v>
      </c>
      <c r="N32" s="49" t="s">
        <v>1800</v>
      </c>
      <c r="O32" s="48"/>
      <c r="P32" s="49"/>
      <c r="S32" s="12"/>
      <c r="T32" s="12"/>
      <c r="U32" s="12"/>
      <c r="V32" s="12"/>
      <c r="W32" s="12"/>
    </row>
    <row r="33" spans="2:23">
      <c r="B33" s="46" t="s">
        <v>1643</v>
      </c>
      <c r="C33" s="46" t="s">
        <v>1644</v>
      </c>
      <c r="D33" s="46" t="s">
        <v>13</v>
      </c>
      <c r="E33" s="47">
        <v>10</v>
      </c>
      <c r="F33" s="47"/>
      <c r="G33" s="46"/>
      <c r="H33" s="46"/>
      <c r="I33" s="47"/>
      <c r="J33" s="47"/>
      <c r="K33" s="47"/>
      <c r="L33" s="46" t="str">
        <f t="shared" si="2"/>
        <v>L(10)Eq</v>
      </c>
      <c r="M33" s="46"/>
      <c r="N33" s="49"/>
      <c r="O33" s="48"/>
      <c r="P33" s="49"/>
      <c r="S33" s="12"/>
      <c r="T33" s="12"/>
      <c r="U33" s="12"/>
      <c r="V33" s="12"/>
      <c r="W33" s="12"/>
    </row>
    <row r="34" spans="2:23">
      <c r="B34" s="46" t="s">
        <v>1645</v>
      </c>
      <c r="C34" s="46" t="s">
        <v>1646</v>
      </c>
      <c r="D34" s="46" t="s">
        <v>13</v>
      </c>
      <c r="E34" s="47">
        <v>255</v>
      </c>
      <c r="F34" s="47"/>
      <c r="G34" s="46"/>
      <c r="H34" s="46"/>
      <c r="I34" s="47"/>
      <c r="J34" s="47"/>
      <c r="K34" s="47"/>
      <c r="L34" s="46" t="str">
        <f t="shared" si="2"/>
        <v>L(255)Eq</v>
      </c>
      <c r="M34" s="46"/>
      <c r="N34" s="49"/>
      <c r="O34" s="48"/>
      <c r="P34" s="49"/>
      <c r="S34" s="12"/>
      <c r="T34" s="12"/>
      <c r="U34" s="12"/>
      <c r="V34" s="12"/>
      <c r="W34" s="12"/>
    </row>
    <row r="35" spans="2:23">
      <c r="B35" s="46" t="s">
        <v>1647</v>
      </c>
      <c r="C35" s="46" t="s">
        <v>1648</v>
      </c>
      <c r="D35" s="46" t="s">
        <v>13</v>
      </c>
      <c r="E35" s="47">
        <v>10</v>
      </c>
      <c r="F35" s="47"/>
      <c r="G35" s="46"/>
      <c r="H35" s="46"/>
      <c r="I35" s="47"/>
      <c r="J35" s="47"/>
      <c r="K35" s="47"/>
      <c r="L35" s="46" t="str">
        <f t="shared" si="2"/>
        <v>L(10)Eq</v>
      </c>
      <c r="M35" s="46"/>
      <c r="N35" s="49"/>
      <c r="O35" s="48"/>
      <c r="P35" s="49"/>
      <c r="S35" s="12"/>
      <c r="T35" s="12"/>
      <c r="U35" s="12"/>
      <c r="V35" s="12"/>
      <c r="W35" s="12"/>
    </row>
    <row r="36" spans="2:23">
      <c r="B36" s="46" t="s">
        <v>1649</v>
      </c>
      <c r="C36" s="46" t="s">
        <v>1650</v>
      </c>
      <c r="D36" s="46" t="s">
        <v>13</v>
      </c>
      <c r="E36" s="47">
        <v>50</v>
      </c>
      <c r="F36" s="47"/>
      <c r="G36" s="46"/>
      <c r="H36" s="46"/>
      <c r="I36" s="47"/>
      <c r="J36" s="47"/>
      <c r="K36" s="47"/>
      <c r="L36" s="46" t="str">
        <f t="shared" si="2"/>
        <v>L(50)Eq</v>
      </c>
      <c r="M36" s="46"/>
      <c r="N36" s="49"/>
      <c r="O36" s="48"/>
      <c r="P36" s="49"/>
      <c r="S36" s="12"/>
      <c r="T36" s="12"/>
      <c r="U36" s="12"/>
      <c r="V36" s="12"/>
      <c r="W36" s="12"/>
    </row>
    <row r="37" spans="2:23">
      <c r="B37" s="46" t="s">
        <v>1651</v>
      </c>
      <c r="C37" s="46" t="s">
        <v>1652</v>
      </c>
      <c r="D37" s="46" t="s">
        <v>13</v>
      </c>
      <c r="E37" s="47">
        <v>50</v>
      </c>
      <c r="F37" s="47"/>
      <c r="G37" s="46"/>
      <c r="H37" s="46"/>
      <c r="I37" s="47"/>
      <c r="J37" s="47"/>
      <c r="K37" s="47"/>
      <c r="L37" s="46" t="str">
        <f t="shared" si="2"/>
        <v>L(50)Eq</v>
      </c>
      <c r="M37" s="46"/>
      <c r="N37" s="49"/>
      <c r="O37" s="48"/>
      <c r="P37" s="49"/>
      <c r="S37" s="12"/>
      <c r="T37" s="12"/>
      <c r="U37" s="12"/>
      <c r="V37" s="12"/>
      <c r="W37" s="12"/>
    </row>
    <row r="38" spans="2:23">
      <c r="B38" s="46" t="s">
        <v>1653</v>
      </c>
      <c r="C38" s="46" t="s">
        <v>1040</v>
      </c>
      <c r="D38" s="46" t="s">
        <v>193</v>
      </c>
      <c r="E38" s="47">
        <v>50</v>
      </c>
      <c r="F38" s="47"/>
      <c r="G38" s="46"/>
      <c r="H38" s="46"/>
      <c r="I38" s="47"/>
      <c r="J38" s="47"/>
      <c r="K38" s="47"/>
      <c r="L38" s="46" t="s">
        <v>315</v>
      </c>
      <c r="M38" s="46" t="s">
        <v>14</v>
      </c>
      <c r="N38" s="49" t="s">
        <v>1801</v>
      </c>
      <c r="O38" s="48"/>
      <c r="P38" s="49"/>
      <c r="S38" s="12"/>
      <c r="T38" s="12"/>
      <c r="U38" s="12"/>
      <c r="V38" s="12"/>
      <c r="W38" s="12"/>
    </row>
    <row r="39" spans="2:23">
      <c r="B39" s="46" t="s">
        <v>1654</v>
      </c>
      <c r="C39" s="46" t="s">
        <v>1655</v>
      </c>
      <c r="D39" s="46" t="s">
        <v>13</v>
      </c>
      <c r="E39" s="47">
        <v>50</v>
      </c>
      <c r="F39" s="47"/>
      <c r="G39" s="46"/>
      <c r="H39" s="46"/>
      <c r="I39" s="47"/>
      <c r="J39" s="47"/>
      <c r="K39" s="47"/>
      <c r="L39" s="46" t="str">
        <f t="shared" ref="L39:L42" si="3">"L("&amp;E39&amp;")Eq"</f>
        <v>L(50)Eq</v>
      </c>
      <c r="M39" s="46"/>
      <c r="N39" s="49"/>
      <c r="O39" s="48"/>
      <c r="P39" s="49"/>
      <c r="S39" s="12"/>
      <c r="T39" s="12"/>
      <c r="U39" s="12"/>
      <c r="V39" s="12"/>
      <c r="W39" s="12"/>
    </row>
    <row r="40" spans="2:23">
      <c r="B40" s="46" t="s">
        <v>1656</v>
      </c>
      <c r="C40" s="46" t="s">
        <v>1657</v>
      </c>
      <c r="D40" s="46" t="s">
        <v>13</v>
      </c>
      <c r="E40" s="47">
        <v>50</v>
      </c>
      <c r="F40" s="47"/>
      <c r="G40" s="46"/>
      <c r="H40" s="46"/>
      <c r="I40" s="47"/>
      <c r="J40" s="47"/>
      <c r="K40" s="47"/>
      <c r="L40" s="46" t="str">
        <f t="shared" si="3"/>
        <v>L(50)Eq</v>
      </c>
      <c r="M40" s="46"/>
      <c r="N40" s="49"/>
      <c r="O40" s="48"/>
      <c r="P40" s="49"/>
      <c r="S40" s="12"/>
      <c r="T40" s="12"/>
      <c r="U40" s="12"/>
      <c r="V40" s="12"/>
      <c r="W40" s="12"/>
    </row>
    <row r="41" spans="2:23">
      <c r="B41" s="46" t="s">
        <v>1658</v>
      </c>
      <c r="C41" s="46" t="s">
        <v>1659</v>
      </c>
      <c r="D41" s="46" t="s">
        <v>13</v>
      </c>
      <c r="E41" s="47">
        <v>100</v>
      </c>
      <c r="F41" s="47"/>
      <c r="G41" s="46"/>
      <c r="H41" s="46"/>
      <c r="I41" s="47"/>
      <c r="J41" s="47"/>
      <c r="K41" s="47"/>
      <c r="L41" s="46" t="str">
        <f t="shared" si="3"/>
        <v>L(100)Eq</v>
      </c>
      <c r="M41" s="46"/>
      <c r="N41" s="49"/>
      <c r="O41" s="48"/>
      <c r="P41" s="49"/>
      <c r="S41" s="12"/>
      <c r="T41" s="12"/>
      <c r="U41" s="12"/>
      <c r="V41" s="12"/>
      <c r="W41" s="12"/>
    </row>
    <row r="42" spans="2:23">
      <c r="B42" s="46" t="s">
        <v>1660</v>
      </c>
      <c r="C42" s="46" t="s">
        <v>1661</v>
      </c>
      <c r="D42" s="46" t="s">
        <v>13</v>
      </c>
      <c r="E42" s="47">
        <v>40</v>
      </c>
      <c r="F42" s="47"/>
      <c r="G42" s="46"/>
      <c r="H42" s="46"/>
      <c r="I42" s="47"/>
      <c r="J42" s="47"/>
      <c r="K42" s="47"/>
      <c r="L42" s="46" t="str">
        <f t="shared" si="3"/>
        <v>L(40)Eq</v>
      </c>
      <c r="M42" s="46"/>
      <c r="N42" s="49"/>
      <c r="O42" s="48"/>
      <c r="P42" s="49"/>
      <c r="S42" s="12"/>
      <c r="T42" s="12"/>
      <c r="U42" s="12"/>
      <c r="V42" s="12"/>
      <c r="W42" s="12"/>
    </row>
    <row r="43" spans="2:23">
      <c r="B43" s="46" t="s">
        <v>1662</v>
      </c>
      <c r="C43" s="46" t="s">
        <v>1663</v>
      </c>
      <c r="D43" s="46" t="s">
        <v>17</v>
      </c>
      <c r="E43" s="47"/>
      <c r="F43" s="47"/>
      <c r="G43" s="46"/>
      <c r="H43" s="46"/>
      <c r="I43" s="47"/>
      <c r="J43" s="47"/>
      <c r="K43" s="47"/>
      <c r="L43" s="141" t="s">
        <v>1816</v>
      </c>
      <c r="M43" s="46"/>
      <c r="N43" s="49"/>
      <c r="O43" s="48"/>
      <c r="P43" s="49"/>
      <c r="S43" s="12"/>
      <c r="T43" s="12"/>
      <c r="U43" s="12"/>
      <c r="V43" s="12"/>
      <c r="W43" s="12"/>
    </row>
    <row r="44" spans="2:23">
      <c r="B44" s="46" t="s">
        <v>1664</v>
      </c>
      <c r="C44" s="46" t="s">
        <v>1665</v>
      </c>
      <c r="D44" s="46" t="s">
        <v>13</v>
      </c>
      <c r="E44" s="47">
        <v>40</v>
      </c>
      <c r="F44" s="47"/>
      <c r="G44" s="46"/>
      <c r="H44" s="46"/>
      <c r="I44" s="47"/>
      <c r="J44" s="47"/>
      <c r="K44" s="47"/>
      <c r="L44" s="46" t="str">
        <f t="shared" ref="L44" si="4">"L("&amp;E44&amp;")Eq"</f>
        <v>L(40)Eq</v>
      </c>
      <c r="M44" s="46"/>
      <c r="N44" s="49"/>
      <c r="O44" s="48"/>
      <c r="P44" s="49"/>
      <c r="S44" s="12"/>
      <c r="T44" s="12"/>
      <c r="U44" s="12"/>
      <c r="V44" s="12"/>
      <c r="W44" s="12"/>
    </row>
    <row r="45" spans="2:23">
      <c r="B45" s="46" t="s">
        <v>1666</v>
      </c>
      <c r="C45" s="46" t="s">
        <v>1667</v>
      </c>
      <c r="D45" s="46" t="s">
        <v>17</v>
      </c>
      <c r="E45" s="47"/>
      <c r="F45" s="47"/>
      <c r="G45" s="46"/>
      <c r="H45" s="46"/>
      <c r="I45" s="47"/>
      <c r="J45" s="47"/>
      <c r="K45" s="47"/>
      <c r="L45" s="141" t="s">
        <v>1816</v>
      </c>
      <c r="M45" s="46"/>
      <c r="N45" s="49"/>
      <c r="O45" s="48"/>
      <c r="P45" s="49"/>
      <c r="S45" s="12"/>
      <c r="T45" s="12"/>
      <c r="U45" s="12"/>
      <c r="V45" s="12"/>
      <c r="W45" s="12"/>
    </row>
    <row r="46" spans="2:23">
      <c r="B46" s="46" t="s">
        <v>1668</v>
      </c>
      <c r="C46" s="46" t="s">
        <v>1669</v>
      </c>
      <c r="D46" s="46" t="s">
        <v>13</v>
      </c>
      <c r="E46" s="47">
        <v>40</v>
      </c>
      <c r="F46" s="47"/>
      <c r="G46" s="46"/>
      <c r="H46" s="46"/>
      <c r="I46" s="47"/>
      <c r="J46" s="47"/>
      <c r="K46" s="47"/>
      <c r="L46" s="46" t="str">
        <f t="shared" ref="L46" si="5">"L("&amp;E46&amp;")Eq"</f>
        <v>L(40)Eq</v>
      </c>
      <c r="M46" s="46"/>
      <c r="N46" s="49"/>
      <c r="O46" s="48"/>
      <c r="P46" s="49"/>
      <c r="S46" s="12"/>
      <c r="T46" s="12"/>
      <c r="U46" s="12"/>
      <c r="V46" s="12"/>
      <c r="W46" s="12"/>
    </row>
    <row r="47" spans="2:23">
      <c r="B47" s="46" t="s">
        <v>1670</v>
      </c>
      <c r="C47" s="46" t="s">
        <v>1671</v>
      </c>
      <c r="D47" s="46" t="s">
        <v>17</v>
      </c>
      <c r="E47" s="47"/>
      <c r="F47" s="47"/>
      <c r="G47" s="46"/>
      <c r="H47" s="46"/>
      <c r="I47" s="47"/>
      <c r="J47" s="47"/>
      <c r="K47" s="47"/>
      <c r="L47" s="141" t="s">
        <v>1816</v>
      </c>
      <c r="M47" s="46"/>
      <c r="N47" s="49"/>
      <c r="O47" s="48"/>
      <c r="P47" s="49"/>
      <c r="S47" s="12"/>
      <c r="T47" s="12"/>
      <c r="U47" s="12"/>
      <c r="V47" s="12"/>
      <c r="W47" s="12"/>
    </row>
    <row r="48" spans="2:23">
      <c r="B48" s="46" t="s">
        <v>1672</v>
      </c>
      <c r="C48" s="46" t="s">
        <v>1673</v>
      </c>
      <c r="D48" s="46" t="s">
        <v>13</v>
      </c>
      <c r="E48" s="47">
        <v>40</v>
      </c>
      <c r="F48" s="47"/>
      <c r="G48" s="46"/>
      <c r="H48" s="46"/>
      <c r="I48" s="47"/>
      <c r="J48" s="47"/>
      <c r="K48" s="47"/>
      <c r="L48" s="46" t="str">
        <f t="shared" ref="L48" si="6">"L("&amp;E48&amp;")Eq"</f>
        <v>L(40)Eq</v>
      </c>
      <c r="M48" s="46"/>
      <c r="N48" s="49"/>
      <c r="O48" s="48"/>
      <c r="P48" s="49"/>
      <c r="S48" s="12"/>
      <c r="T48" s="12"/>
      <c r="U48" s="12"/>
      <c r="V48" s="12"/>
      <c r="W48" s="12"/>
    </row>
    <row r="49" spans="2:23">
      <c r="B49" s="46" t="s">
        <v>1674</v>
      </c>
      <c r="C49" s="46" t="s">
        <v>1675</v>
      </c>
      <c r="D49" s="46" t="s">
        <v>17</v>
      </c>
      <c r="E49" s="47"/>
      <c r="F49" s="47"/>
      <c r="G49" s="46"/>
      <c r="H49" s="46"/>
      <c r="I49" s="47"/>
      <c r="J49" s="47"/>
      <c r="K49" s="47"/>
      <c r="L49" s="141" t="s">
        <v>1816</v>
      </c>
      <c r="M49" s="46"/>
      <c r="N49" s="49"/>
      <c r="O49" s="48"/>
      <c r="P49" s="49"/>
      <c r="S49" s="12"/>
      <c r="T49" s="12"/>
      <c r="U49" s="12"/>
      <c r="V49" s="12"/>
      <c r="W49" s="12"/>
    </row>
    <row r="50" spans="2:23">
      <c r="B50" s="46" t="s">
        <v>1676</v>
      </c>
      <c r="C50" s="46" t="s">
        <v>1677</v>
      </c>
      <c r="D50" s="46" t="s">
        <v>13</v>
      </c>
      <c r="E50" s="47">
        <v>40</v>
      </c>
      <c r="F50" s="47"/>
      <c r="G50" s="46"/>
      <c r="H50" s="46"/>
      <c r="I50" s="47"/>
      <c r="J50" s="47"/>
      <c r="K50" s="47"/>
      <c r="L50" s="46" t="str">
        <f t="shared" ref="L50" si="7">"L("&amp;E50&amp;")Eq"</f>
        <v>L(40)Eq</v>
      </c>
      <c r="M50" s="46"/>
      <c r="N50" s="49"/>
      <c r="O50" s="48"/>
      <c r="P50" s="49"/>
      <c r="S50" s="12"/>
      <c r="T50" s="12"/>
      <c r="U50" s="12"/>
      <c r="V50" s="12"/>
      <c r="W50" s="12"/>
    </row>
    <row r="51" spans="2:23">
      <c r="B51" s="46" t="s">
        <v>1678</v>
      </c>
      <c r="C51" s="46" t="s">
        <v>1679</v>
      </c>
      <c r="D51" s="46" t="s">
        <v>17</v>
      </c>
      <c r="E51" s="47"/>
      <c r="F51" s="47"/>
      <c r="G51" s="46"/>
      <c r="H51" s="46"/>
      <c r="I51" s="47"/>
      <c r="J51" s="47"/>
      <c r="K51" s="47"/>
      <c r="L51" s="141" t="s">
        <v>1816</v>
      </c>
      <c r="M51" s="46"/>
      <c r="N51" s="49"/>
      <c r="O51" s="48"/>
      <c r="P51" s="49"/>
      <c r="S51" s="12"/>
      <c r="T51" s="12"/>
      <c r="U51" s="12"/>
      <c r="V51" s="12"/>
      <c r="W51" s="12"/>
    </row>
    <row r="52" spans="2:23">
      <c r="B52" s="46" t="s">
        <v>1680</v>
      </c>
      <c r="C52" s="46" t="s">
        <v>1681</v>
      </c>
      <c r="D52" s="46" t="s">
        <v>13</v>
      </c>
      <c r="E52" s="47">
        <v>40</v>
      </c>
      <c r="F52" s="47"/>
      <c r="G52" s="46"/>
      <c r="H52" s="46"/>
      <c r="I52" s="47"/>
      <c r="J52" s="47"/>
      <c r="K52" s="47"/>
      <c r="L52" s="46" t="str">
        <f t="shared" ref="L52" si="8">"L("&amp;E52&amp;")Eq"</f>
        <v>L(40)Eq</v>
      </c>
      <c r="M52" s="46"/>
      <c r="N52" s="49"/>
      <c r="O52" s="48"/>
      <c r="P52" s="49"/>
      <c r="S52" s="12"/>
      <c r="T52" s="12"/>
      <c r="U52" s="12"/>
      <c r="V52" s="12"/>
      <c r="W52" s="12"/>
    </row>
    <row r="53" spans="2:23">
      <c r="B53" s="46" t="s">
        <v>1682</v>
      </c>
      <c r="C53" s="46" t="s">
        <v>1683</v>
      </c>
      <c r="D53" s="46" t="s">
        <v>17</v>
      </c>
      <c r="E53" s="47"/>
      <c r="F53" s="47"/>
      <c r="G53" s="46"/>
      <c r="H53" s="46"/>
      <c r="I53" s="47"/>
      <c r="J53" s="47"/>
      <c r="K53" s="47"/>
      <c r="L53" s="141" t="s">
        <v>1816</v>
      </c>
      <c r="M53" s="46"/>
      <c r="N53" s="49"/>
      <c r="O53" s="48"/>
      <c r="P53" s="49"/>
      <c r="S53" s="12"/>
      <c r="T53" s="12"/>
      <c r="U53" s="12"/>
      <c r="V53" s="12"/>
      <c r="W53" s="12"/>
    </row>
    <row r="54" spans="2:23">
      <c r="B54" s="46" t="s">
        <v>1684</v>
      </c>
      <c r="C54" s="46" t="s">
        <v>1685</v>
      </c>
      <c r="D54" s="46" t="s">
        <v>13</v>
      </c>
      <c r="E54" s="47">
        <v>40</v>
      </c>
      <c r="F54" s="47"/>
      <c r="G54" s="46"/>
      <c r="H54" s="46"/>
      <c r="I54" s="47"/>
      <c r="J54" s="47"/>
      <c r="K54" s="47"/>
      <c r="L54" s="46" t="str">
        <f t="shared" ref="L54" si="9">"L("&amp;E54&amp;")Eq"</f>
        <v>L(40)Eq</v>
      </c>
      <c r="M54" s="46"/>
      <c r="N54" s="49"/>
      <c r="O54" s="48"/>
      <c r="P54" s="49"/>
      <c r="S54" s="12"/>
      <c r="T54" s="12"/>
      <c r="U54" s="12"/>
      <c r="V54" s="12"/>
      <c r="W54" s="12"/>
    </row>
    <row r="55" spans="2:23">
      <c r="B55" s="46" t="s">
        <v>1686</v>
      </c>
      <c r="C55" s="46" t="s">
        <v>1687</v>
      </c>
      <c r="D55" s="46" t="s">
        <v>17</v>
      </c>
      <c r="E55" s="47"/>
      <c r="F55" s="47"/>
      <c r="G55" s="46"/>
      <c r="H55" s="46"/>
      <c r="I55" s="47"/>
      <c r="J55" s="47"/>
      <c r="K55" s="47"/>
      <c r="L55" s="141" t="s">
        <v>1816</v>
      </c>
      <c r="M55" s="46"/>
      <c r="N55" s="49"/>
      <c r="O55" s="48"/>
      <c r="P55" s="49"/>
      <c r="S55" s="12"/>
      <c r="T55" s="12"/>
      <c r="U55" s="12"/>
      <c r="V55" s="12"/>
      <c r="W55" s="12"/>
    </row>
    <row r="56" spans="2:23">
      <c r="B56" s="46" t="s">
        <v>1688</v>
      </c>
      <c r="C56" s="46" t="s">
        <v>1689</v>
      </c>
      <c r="D56" s="46" t="s">
        <v>13</v>
      </c>
      <c r="E56" s="47">
        <v>40</v>
      </c>
      <c r="F56" s="47"/>
      <c r="G56" s="46"/>
      <c r="H56" s="46"/>
      <c r="I56" s="47"/>
      <c r="J56" s="47"/>
      <c r="K56" s="47"/>
      <c r="L56" s="46" t="str">
        <f t="shared" ref="L56" si="10">"L("&amp;E56&amp;")Eq"</f>
        <v>L(40)Eq</v>
      </c>
      <c r="M56" s="46"/>
      <c r="N56" s="49"/>
      <c r="O56" s="48"/>
      <c r="P56" s="49"/>
      <c r="S56" s="12"/>
      <c r="T56" s="12"/>
      <c r="U56" s="12"/>
      <c r="V56" s="12"/>
      <c r="W56" s="12"/>
    </row>
    <row r="57" spans="2:23">
      <c r="B57" s="46" t="s">
        <v>1690</v>
      </c>
      <c r="C57" s="46" t="s">
        <v>1691</v>
      </c>
      <c r="D57" s="46" t="s">
        <v>17</v>
      </c>
      <c r="E57" s="47"/>
      <c r="F57" s="47"/>
      <c r="G57" s="46"/>
      <c r="H57" s="46"/>
      <c r="I57" s="47"/>
      <c r="J57" s="47"/>
      <c r="K57" s="47"/>
      <c r="L57" s="141" t="s">
        <v>1816</v>
      </c>
      <c r="M57" s="46"/>
      <c r="N57" s="49"/>
      <c r="O57" s="48"/>
      <c r="P57" s="49"/>
      <c r="S57" s="12"/>
      <c r="T57" s="12"/>
      <c r="U57" s="12"/>
      <c r="V57" s="12"/>
      <c r="W57" s="12"/>
    </row>
    <row r="58" spans="2:23">
      <c r="B58" s="46" t="s">
        <v>1692</v>
      </c>
      <c r="C58" s="46" t="s">
        <v>1693</v>
      </c>
      <c r="D58" s="46" t="s">
        <v>13</v>
      </c>
      <c r="E58" s="47">
        <v>40</v>
      </c>
      <c r="F58" s="47"/>
      <c r="G58" s="46"/>
      <c r="H58" s="46"/>
      <c r="I58" s="47"/>
      <c r="J58" s="47"/>
      <c r="K58" s="47"/>
      <c r="L58" s="46" t="str">
        <f t="shared" ref="L58" si="11">"L("&amp;E58&amp;")Eq"</f>
        <v>L(40)Eq</v>
      </c>
      <c r="M58" s="46"/>
      <c r="N58" s="49"/>
      <c r="O58" s="48"/>
      <c r="P58" s="49"/>
      <c r="S58" s="12"/>
      <c r="T58" s="12"/>
      <c r="U58" s="12"/>
      <c r="V58" s="12"/>
      <c r="W58" s="12"/>
    </row>
    <row r="59" spans="2:23">
      <c r="B59" s="46" t="s">
        <v>1694</v>
      </c>
      <c r="C59" s="46" t="s">
        <v>1695</v>
      </c>
      <c r="D59" s="46" t="s">
        <v>17</v>
      </c>
      <c r="E59" s="47"/>
      <c r="F59" s="47"/>
      <c r="G59" s="46"/>
      <c r="H59" s="46"/>
      <c r="I59" s="47"/>
      <c r="J59" s="47"/>
      <c r="K59" s="47"/>
      <c r="L59" s="141" t="s">
        <v>1816</v>
      </c>
      <c r="M59" s="46"/>
      <c r="N59" s="49"/>
      <c r="O59" s="48"/>
      <c r="P59" s="49"/>
      <c r="S59" s="12"/>
      <c r="T59" s="12"/>
      <c r="U59" s="12"/>
      <c r="V59" s="12"/>
      <c r="W59" s="12"/>
    </row>
    <row r="60" spans="2:23">
      <c r="B60" s="46" t="s">
        <v>1696</v>
      </c>
      <c r="C60" s="46" t="s">
        <v>1697</v>
      </c>
      <c r="D60" s="46" t="s">
        <v>13</v>
      </c>
      <c r="E60" s="47">
        <v>40</v>
      </c>
      <c r="F60" s="47"/>
      <c r="G60" s="46"/>
      <c r="H60" s="46"/>
      <c r="I60" s="47"/>
      <c r="J60" s="47"/>
      <c r="K60" s="47"/>
      <c r="L60" s="46" t="str">
        <f t="shared" ref="L60" si="12">"L("&amp;E60&amp;")Eq"</f>
        <v>L(40)Eq</v>
      </c>
      <c r="M60" s="46"/>
      <c r="N60" s="49"/>
      <c r="O60" s="48"/>
      <c r="P60" s="49"/>
      <c r="S60" s="12"/>
      <c r="T60" s="12"/>
      <c r="U60" s="12"/>
      <c r="V60" s="12"/>
      <c r="W60" s="12"/>
    </row>
    <row r="61" spans="2:23">
      <c r="B61" s="46" t="s">
        <v>1698</v>
      </c>
      <c r="C61" s="46" t="s">
        <v>1699</v>
      </c>
      <c r="D61" s="46" t="s">
        <v>17</v>
      </c>
      <c r="E61" s="47"/>
      <c r="F61" s="47"/>
      <c r="G61" s="46"/>
      <c r="H61" s="46"/>
      <c r="I61" s="47"/>
      <c r="J61" s="47"/>
      <c r="K61" s="47"/>
      <c r="L61" s="141" t="s">
        <v>1816</v>
      </c>
      <c r="M61" s="46"/>
      <c r="N61" s="49"/>
      <c r="O61" s="48"/>
      <c r="P61" s="49"/>
      <c r="S61" s="12"/>
      <c r="T61" s="12"/>
      <c r="U61" s="12"/>
      <c r="V61" s="12"/>
      <c r="W61" s="12"/>
    </row>
    <row r="62" spans="2:23">
      <c r="B62" s="46" t="s">
        <v>1700</v>
      </c>
      <c r="C62" s="46" t="s">
        <v>1701</v>
      </c>
      <c r="D62" s="46" t="s">
        <v>193</v>
      </c>
      <c r="E62" s="47">
        <v>100</v>
      </c>
      <c r="F62" s="47"/>
      <c r="G62" s="46"/>
      <c r="H62" s="46"/>
      <c r="I62" s="47"/>
      <c r="J62" s="47"/>
      <c r="K62" s="47"/>
      <c r="L62" s="46" t="str">
        <f t="shared" ref="L62:L65" si="13">"L("&amp;E62&amp;")Eq"</f>
        <v>L(100)Eq</v>
      </c>
      <c r="M62" s="46"/>
      <c r="N62" s="49"/>
      <c r="O62" s="48"/>
      <c r="P62" s="49"/>
      <c r="S62" s="12"/>
      <c r="T62" s="12"/>
      <c r="U62" s="12"/>
      <c r="V62" s="12"/>
      <c r="W62" s="12"/>
    </row>
    <row r="63" spans="2:23">
      <c r="B63" s="46" t="s">
        <v>1702</v>
      </c>
      <c r="C63" s="46" t="s">
        <v>1703</v>
      </c>
      <c r="D63" s="46" t="s">
        <v>193</v>
      </c>
      <c r="E63" s="47">
        <v>100</v>
      </c>
      <c r="F63" s="47"/>
      <c r="G63" s="46"/>
      <c r="H63" s="46"/>
      <c r="I63" s="47"/>
      <c r="J63" s="47"/>
      <c r="K63" s="47"/>
      <c r="L63" s="46" t="str">
        <f t="shared" si="13"/>
        <v>L(100)Eq</v>
      </c>
      <c r="M63" s="46"/>
      <c r="N63" s="49"/>
      <c r="O63" s="48"/>
      <c r="P63" s="49"/>
      <c r="S63" s="12"/>
      <c r="T63" s="12"/>
      <c r="U63" s="12"/>
      <c r="V63" s="12"/>
      <c r="W63" s="12"/>
    </row>
    <row r="64" spans="2:23">
      <c r="B64" s="46" t="s">
        <v>1704</v>
      </c>
      <c r="C64" s="46" t="s">
        <v>1705</v>
      </c>
      <c r="D64" s="46" t="s">
        <v>13</v>
      </c>
      <c r="E64" s="47">
        <v>10</v>
      </c>
      <c r="F64" s="47"/>
      <c r="G64" s="46"/>
      <c r="H64" s="46"/>
      <c r="I64" s="47"/>
      <c r="J64" s="47"/>
      <c r="K64" s="47"/>
      <c r="L64" s="46" t="str">
        <f t="shared" si="13"/>
        <v>L(10)Eq</v>
      </c>
      <c r="M64" s="46"/>
      <c r="N64" s="49"/>
      <c r="O64" s="48"/>
      <c r="P64" s="49"/>
      <c r="S64" s="12"/>
      <c r="T64" s="12"/>
      <c r="U64" s="12"/>
      <c r="V64" s="12"/>
      <c r="W64" s="12"/>
    </row>
    <row r="65" spans="2:23">
      <c r="B65" s="46" t="s">
        <v>1706</v>
      </c>
      <c r="C65" s="46" t="s">
        <v>1707</v>
      </c>
      <c r="D65" s="46" t="s">
        <v>13</v>
      </c>
      <c r="E65" s="47">
        <v>20</v>
      </c>
      <c r="F65" s="47"/>
      <c r="G65" s="46"/>
      <c r="H65" s="46"/>
      <c r="I65" s="47"/>
      <c r="J65" s="47"/>
      <c r="K65" s="47"/>
      <c r="L65" s="46" t="str">
        <f t="shared" si="13"/>
        <v>L(20)Eq</v>
      </c>
      <c r="M65" s="46"/>
      <c r="N65" s="49"/>
      <c r="O65" s="48"/>
      <c r="P65" s="49"/>
      <c r="S65" s="12"/>
      <c r="T65" s="12"/>
      <c r="U65" s="12"/>
      <c r="V65" s="12"/>
      <c r="W65" s="12"/>
    </row>
    <row r="66" spans="2:23">
      <c r="B66" s="46" t="s">
        <v>1708</v>
      </c>
      <c r="C66" s="46" t="s">
        <v>1709</v>
      </c>
      <c r="D66" s="46" t="s">
        <v>64</v>
      </c>
      <c r="E66" s="47"/>
      <c r="F66" s="47"/>
      <c r="G66" s="46"/>
      <c r="H66" s="46"/>
      <c r="I66" s="47"/>
      <c r="J66" s="47"/>
      <c r="K66" s="47"/>
      <c r="L66" s="46">
        <v>0</v>
      </c>
      <c r="M66" s="46"/>
      <c r="N66" s="49"/>
      <c r="O66" s="48"/>
      <c r="P66" s="49"/>
      <c r="S66" s="12"/>
      <c r="T66" s="12"/>
      <c r="U66" s="12"/>
      <c r="V66" s="12"/>
      <c r="W66" s="12"/>
    </row>
    <row r="67" spans="2:23">
      <c r="B67" s="46" t="s">
        <v>1710</v>
      </c>
      <c r="C67" s="46" t="s">
        <v>1711</v>
      </c>
      <c r="D67" s="46" t="s">
        <v>13</v>
      </c>
      <c r="E67" s="47">
        <v>10</v>
      </c>
      <c r="F67" s="47"/>
      <c r="G67" s="46"/>
      <c r="H67" s="46"/>
      <c r="I67" s="47"/>
      <c r="J67" s="47"/>
      <c r="K67" s="47"/>
      <c r="L67" s="46" t="str">
        <f t="shared" ref="L67" si="14">"L("&amp;E67&amp;")Eq"</f>
        <v>L(10)Eq</v>
      </c>
      <c r="M67" s="46"/>
      <c r="N67" s="49"/>
      <c r="O67" s="48"/>
      <c r="P67" s="49"/>
      <c r="S67" s="12"/>
      <c r="T67" s="12"/>
      <c r="U67" s="12"/>
      <c r="V67" s="12"/>
      <c r="W67" s="12"/>
    </row>
    <row r="68" spans="2:23">
      <c r="B68" s="46" t="s">
        <v>1712</v>
      </c>
      <c r="C68" s="46" t="s">
        <v>1713</v>
      </c>
      <c r="D68" s="46" t="s">
        <v>17</v>
      </c>
      <c r="E68" s="47"/>
      <c r="F68" s="47"/>
      <c r="G68" s="46"/>
      <c r="H68" s="46"/>
      <c r="I68" s="47"/>
      <c r="J68" s="47"/>
      <c r="K68" s="47"/>
      <c r="L68" s="141" t="s">
        <v>1816</v>
      </c>
      <c r="M68" s="46"/>
      <c r="N68" s="49"/>
      <c r="O68" s="48"/>
      <c r="P68" s="49"/>
      <c r="S68" s="12"/>
      <c r="T68" s="12"/>
      <c r="U68" s="12"/>
      <c r="V68" s="12"/>
      <c r="W68" s="12"/>
    </row>
    <row r="69" spans="2:23">
      <c r="B69" s="46" t="s">
        <v>536</v>
      </c>
      <c r="C69" s="46" t="s">
        <v>537</v>
      </c>
      <c r="D69" s="46" t="s">
        <v>13</v>
      </c>
      <c r="E69" s="47">
        <v>50</v>
      </c>
      <c r="F69" s="47"/>
      <c r="G69" s="46"/>
      <c r="H69" s="46"/>
      <c r="I69" s="47"/>
      <c r="J69" s="47"/>
      <c r="K69" s="47"/>
      <c r="L69" s="46" t="str">
        <f t="shared" ref="L69:L73" si="15">"L("&amp;E69&amp;")Eq"</f>
        <v>L(50)Eq</v>
      </c>
      <c r="M69" s="46"/>
      <c r="N69" s="49"/>
      <c r="O69" s="48"/>
      <c r="P69" s="49"/>
      <c r="S69" s="12"/>
      <c r="T69" s="12"/>
      <c r="U69" s="12"/>
      <c r="V69" s="12"/>
      <c r="W69" s="12"/>
    </row>
    <row r="70" spans="2:23">
      <c r="B70" s="46" t="s">
        <v>1714</v>
      </c>
      <c r="C70" s="46" t="s">
        <v>1715</v>
      </c>
      <c r="D70" s="46" t="s">
        <v>13</v>
      </c>
      <c r="E70" s="47">
        <v>10</v>
      </c>
      <c r="F70" s="47"/>
      <c r="G70" s="46"/>
      <c r="H70" s="46"/>
      <c r="I70" s="47"/>
      <c r="J70" s="47"/>
      <c r="K70" s="47"/>
      <c r="L70" s="46" t="str">
        <f t="shared" si="15"/>
        <v>L(10)Eq</v>
      </c>
      <c r="M70" s="46"/>
      <c r="N70" s="49"/>
      <c r="O70" s="48"/>
      <c r="P70" s="49"/>
      <c r="S70" s="12"/>
      <c r="T70" s="12"/>
      <c r="U70" s="12"/>
      <c r="V70" s="12"/>
      <c r="W70" s="12"/>
    </row>
    <row r="71" spans="2:23">
      <c r="B71" s="46" t="s">
        <v>1716</v>
      </c>
      <c r="C71" s="46" t="s">
        <v>1717</v>
      </c>
      <c r="D71" s="46" t="s">
        <v>13</v>
      </c>
      <c r="E71" s="47">
        <v>100</v>
      </c>
      <c r="F71" s="47"/>
      <c r="G71" s="46"/>
      <c r="H71" s="46"/>
      <c r="I71" s="47"/>
      <c r="J71" s="47"/>
      <c r="K71" s="47"/>
      <c r="L71" s="46" t="str">
        <f t="shared" si="15"/>
        <v>L(100)Eq</v>
      </c>
      <c r="M71" s="46"/>
      <c r="N71" s="49"/>
      <c r="O71" s="48"/>
      <c r="P71" s="49"/>
      <c r="S71" s="12"/>
      <c r="T71" s="12"/>
      <c r="U71" s="12"/>
      <c r="V71" s="12"/>
      <c r="W71" s="12"/>
    </row>
    <row r="72" spans="2:23">
      <c r="B72" s="46" t="s">
        <v>1718</v>
      </c>
      <c r="C72" s="46" t="s">
        <v>1719</v>
      </c>
      <c r="D72" s="46" t="s">
        <v>13</v>
      </c>
      <c r="E72" s="47">
        <v>100</v>
      </c>
      <c r="F72" s="47"/>
      <c r="G72" s="46"/>
      <c r="H72" s="46"/>
      <c r="I72" s="47"/>
      <c r="J72" s="47"/>
      <c r="K72" s="47"/>
      <c r="L72" s="46" t="str">
        <f t="shared" si="15"/>
        <v>L(100)Eq</v>
      </c>
      <c r="M72" s="46"/>
      <c r="N72" s="49"/>
      <c r="O72" s="48"/>
      <c r="P72" s="49"/>
      <c r="S72" s="12"/>
      <c r="T72" s="12"/>
      <c r="U72" s="12"/>
      <c r="V72" s="12"/>
      <c r="W72" s="12"/>
    </row>
    <row r="73" spans="2:23">
      <c r="B73" s="46" t="s">
        <v>1720</v>
      </c>
      <c r="C73" s="46" t="s">
        <v>1721</v>
      </c>
      <c r="D73" s="46" t="s">
        <v>13</v>
      </c>
      <c r="E73" s="47">
        <v>10</v>
      </c>
      <c r="F73" s="47"/>
      <c r="G73" s="46"/>
      <c r="H73" s="46"/>
      <c r="I73" s="47"/>
      <c r="J73" s="47"/>
      <c r="K73" s="47"/>
      <c r="L73" s="46" t="str">
        <f t="shared" si="15"/>
        <v>L(10)Eq</v>
      </c>
      <c r="M73" s="46"/>
      <c r="N73" s="49"/>
      <c r="O73" s="48"/>
      <c r="P73" s="49"/>
      <c r="S73" s="12"/>
      <c r="T73" s="12"/>
      <c r="U73" s="12"/>
      <c r="V73" s="12"/>
      <c r="W73" s="12"/>
    </row>
    <row r="74" spans="2:23">
      <c r="B74" s="46" t="s">
        <v>1722</v>
      </c>
      <c r="C74" s="46" t="s">
        <v>1723</v>
      </c>
      <c r="D74" s="46" t="s">
        <v>64</v>
      </c>
      <c r="E74" s="47"/>
      <c r="F74" s="47"/>
      <c r="G74" s="46"/>
      <c r="H74" s="46"/>
      <c r="I74" s="47"/>
      <c r="J74" s="47"/>
      <c r="K74" s="47"/>
      <c r="L74" s="46">
        <v>0</v>
      </c>
      <c r="M74" s="46"/>
      <c r="N74" s="49"/>
      <c r="O74" s="48"/>
      <c r="P74" s="49"/>
      <c r="S74" s="12"/>
      <c r="T74" s="12"/>
      <c r="U74" s="12"/>
      <c r="V74" s="12"/>
      <c r="W74" s="12"/>
    </row>
    <row r="75" spans="2:23">
      <c r="B75" s="46" t="s">
        <v>1724</v>
      </c>
      <c r="C75" s="46" t="s">
        <v>1725</v>
      </c>
      <c r="D75" s="46" t="s">
        <v>13</v>
      </c>
      <c r="E75" s="47">
        <v>20</v>
      </c>
      <c r="F75" s="47"/>
      <c r="G75" s="46"/>
      <c r="H75" s="46"/>
      <c r="I75" s="47"/>
      <c r="J75" s="47"/>
      <c r="K75" s="47"/>
      <c r="L75" s="46" t="str">
        <f t="shared" ref="L75" si="16">"L("&amp;E75&amp;")Eq"</f>
        <v>L(20)Eq</v>
      </c>
      <c r="M75" s="46" t="s">
        <v>959</v>
      </c>
      <c r="N75" s="49" t="s">
        <v>1724</v>
      </c>
      <c r="O75" s="48"/>
      <c r="P75" s="49"/>
      <c r="S75" s="12"/>
      <c r="T75" s="12"/>
      <c r="U75" s="12"/>
      <c r="V75" s="12"/>
      <c r="W75" s="12"/>
    </row>
    <row r="76" spans="2:23">
      <c r="B76" s="46" t="s">
        <v>1726</v>
      </c>
      <c r="C76" s="46" t="s">
        <v>1727</v>
      </c>
      <c r="D76" s="46" t="s">
        <v>13</v>
      </c>
      <c r="E76" s="47" t="s">
        <v>48</v>
      </c>
      <c r="F76" s="47"/>
      <c r="G76" s="46"/>
      <c r="H76" s="46"/>
      <c r="I76" s="47"/>
      <c r="J76" s="47"/>
      <c r="K76" s="47"/>
      <c r="L76" s="46" t="s">
        <v>204</v>
      </c>
      <c r="M76" s="46"/>
      <c r="N76" s="49"/>
      <c r="O76" s="48"/>
      <c r="P76" s="49"/>
      <c r="S76" s="12"/>
      <c r="T76" s="12"/>
      <c r="U76" s="12"/>
      <c r="V76" s="12"/>
      <c r="W76" s="12"/>
    </row>
    <row r="77" spans="2:23">
      <c r="B77" s="46" t="s">
        <v>1728</v>
      </c>
      <c r="C77" s="46" t="s">
        <v>1729</v>
      </c>
      <c r="D77" s="46" t="s">
        <v>193</v>
      </c>
      <c r="E77" s="47">
        <v>50</v>
      </c>
      <c r="F77" s="47"/>
      <c r="G77" s="46"/>
      <c r="H77" s="46"/>
      <c r="I77" s="47"/>
      <c r="J77" s="47"/>
      <c r="K77" s="47"/>
      <c r="L77" s="46" t="str">
        <f t="shared" ref="L77:L104" si="17">"L("&amp;E77&amp;")Eq"</f>
        <v>L(50)Eq</v>
      </c>
      <c r="M77" s="46"/>
      <c r="N77" s="49"/>
      <c r="O77" s="48"/>
      <c r="P77" s="49"/>
      <c r="S77" s="12"/>
      <c r="T77" s="12"/>
      <c r="U77" s="12"/>
      <c r="V77" s="12"/>
      <c r="W77" s="12"/>
    </row>
    <row r="78" spans="2:23">
      <c r="B78" s="46" t="s">
        <v>1730</v>
      </c>
      <c r="C78" s="46" t="s">
        <v>1731</v>
      </c>
      <c r="D78" s="46" t="s">
        <v>13</v>
      </c>
      <c r="E78" s="47">
        <v>50</v>
      </c>
      <c r="F78" s="47"/>
      <c r="G78" s="46"/>
      <c r="H78" s="46"/>
      <c r="I78" s="47"/>
      <c r="J78" s="47"/>
      <c r="K78" s="47"/>
      <c r="L78" s="46" t="str">
        <f t="shared" si="17"/>
        <v>L(50)Eq</v>
      </c>
      <c r="M78" s="46"/>
      <c r="N78" s="49"/>
      <c r="O78" s="48"/>
      <c r="P78" s="49"/>
      <c r="S78" s="12"/>
      <c r="T78" s="12"/>
      <c r="U78" s="12"/>
      <c r="V78" s="12"/>
      <c r="W78" s="12"/>
    </row>
    <row r="79" spans="2:23">
      <c r="B79" s="46" t="s">
        <v>1732</v>
      </c>
      <c r="C79" s="46" t="s">
        <v>1733</v>
      </c>
      <c r="D79" s="46" t="s">
        <v>13</v>
      </c>
      <c r="E79" s="47">
        <v>50</v>
      </c>
      <c r="F79" s="47"/>
      <c r="G79" s="46"/>
      <c r="H79" s="46"/>
      <c r="I79" s="47"/>
      <c r="J79" s="47"/>
      <c r="K79" s="47"/>
      <c r="L79" s="46" t="str">
        <f t="shared" si="17"/>
        <v>L(50)Eq</v>
      </c>
      <c r="M79" s="46"/>
      <c r="N79" s="49"/>
      <c r="O79" s="48"/>
      <c r="P79" s="49"/>
      <c r="S79" s="12"/>
      <c r="T79" s="12"/>
      <c r="U79" s="12"/>
      <c r="V79" s="12"/>
      <c r="W79" s="12"/>
    </row>
    <row r="80" spans="2:23">
      <c r="B80" s="46" t="s">
        <v>1734</v>
      </c>
      <c r="C80" s="46" t="s">
        <v>1735</v>
      </c>
      <c r="D80" s="46" t="s">
        <v>13</v>
      </c>
      <c r="E80" s="47">
        <v>50</v>
      </c>
      <c r="F80" s="47"/>
      <c r="G80" s="46"/>
      <c r="H80" s="46"/>
      <c r="I80" s="47"/>
      <c r="J80" s="47"/>
      <c r="K80" s="47"/>
      <c r="L80" s="46" t="str">
        <f t="shared" si="17"/>
        <v>L(50)Eq</v>
      </c>
      <c r="M80" s="46"/>
      <c r="N80" s="49"/>
      <c r="O80" s="48"/>
      <c r="P80" s="49"/>
      <c r="S80" s="12"/>
      <c r="T80" s="12"/>
      <c r="U80" s="12"/>
      <c r="V80" s="12"/>
      <c r="W80" s="12"/>
    </row>
    <row r="81" spans="2:23">
      <c r="B81" s="46" t="s">
        <v>1736</v>
      </c>
      <c r="C81" s="46" t="s">
        <v>1737</v>
      </c>
      <c r="D81" s="46" t="s">
        <v>13</v>
      </c>
      <c r="E81" s="47">
        <v>7</v>
      </c>
      <c r="F81" s="47"/>
      <c r="G81" s="46"/>
      <c r="H81" s="46"/>
      <c r="I81" s="47"/>
      <c r="J81" s="47"/>
      <c r="K81" s="47"/>
      <c r="L81" s="46" t="str">
        <f t="shared" si="17"/>
        <v>L(7)Eq</v>
      </c>
      <c r="M81" s="46"/>
      <c r="N81" s="49"/>
      <c r="O81" s="48"/>
      <c r="P81" s="49"/>
      <c r="S81" s="12"/>
      <c r="T81" s="12"/>
      <c r="U81" s="12"/>
      <c r="V81" s="12"/>
      <c r="W81" s="12"/>
    </row>
    <row r="82" spans="2:23">
      <c r="B82" s="46" t="s">
        <v>1738</v>
      </c>
      <c r="C82" s="46" t="s">
        <v>1739</v>
      </c>
      <c r="D82" s="46" t="s">
        <v>193</v>
      </c>
      <c r="E82" s="47">
        <v>10</v>
      </c>
      <c r="F82" s="47"/>
      <c r="G82" s="46"/>
      <c r="H82" s="46"/>
      <c r="I82" s="47"/>
      <c r="J82" s="47"/>
      <c r="K82" s="47"/>
      <c r="L82" s="46" t="str">
        <f t="shared" si="17"/>
        <v>L(10)Eq</v>
      </c>
      <c r="M82" s="46"/>
      <c r="N82" s="49"/>
      <c r="O82" s="48"/>
      <c r="P82" s="49"/>
      <c r="S82" s="12"/>
      <c r="T82" s="12"/>
      <c r="U82" s="12"/>
      <c r="V82" s="12"/>
      <c r="W82" s="12"/>
    </row>
    <row r="83" spans="2:23">
      <c r="B83" s="46" t="s">
        <v>1740</v>
      </c>
      <c r="C83" s="46" t="s">
        <v>1741</v>
      </c>
      <c r="D83" s="46" t="s">
        <v>193</v>
      </c>
      <c r="E83" s="47">
        <v>100</v>
      </c>
      <c r="F83" s="47"/>
      <c r="G83" s="46"/>
      <c r="H83" s="46"/>
      <c r="I83" s="47"/>
      <c r="J83" s="47"/>
      <c r="K83" s="47"/>
      <c r="L83" s="46" t="str">
        <f t="shared" si="17"/>
        <v>L(100)Eq</v>
      </c>
      <c r="M83" s="46"/>
      <c r="N83" s="49"/>
      <c r="O83" s="48"/>
      <c r="P83" s="49"/>
      <c r="S83" s="12"/>
      <c r="T83" s="12"/>
      <c r="U83" s="12"/>
      <c r="V83" s="12"/>
      <c r="W83" s="12"/>
    </row>
    <row r="84" spans="2:23">
      <c r="B84" s="46" t="s">
        <v>1742</v>
      </c>
      <c r="C84" s="46" t="s">
        <v>1743</v>
      </c>
      <c r="D84" s="46" t="s">
        <v>193</v>
      </c>
      <c r="E84" s="47">
        <v>100</v>
      </c>
      <c r="F84" s="47"/>
      <c r="G84" s="46"/>
      <c r="H84" s="46"/>
      <c r="I84" s="47"/>
      <c r="J84" s="47"/>
      <c r="K84" s="47"/>
      <c r="L84" s="46" t="str">
        <f t="shared" si="17"/>
        <v>L(100)Eq</v>
      </c>
      <c r="M84" s="46"/>
      <c r="N84" s="49"/>
      <c r="O84" s="48"/>
      <c r="P84" s="49"/>
      <c r="S84" s="12"/>
      <c r="T84" s="12"/>
      <c r="U84" s="12"/>
      <c r="V84" s="12"/>
      <c r="W84" s="12"/>
    </row>
    <row r="85" spans="2:23">
      <c r="B85" s="46" t="s">
        <v>1744</v>
      </c>
      <c r="C85" s="46" t="s">
        <v>1745</v>
      </c>
      <c r="D85" s="46" t="s">
        <v>193</v>
      </c>
      <c r="E85" s="47">
        <v>100</v>
      </c>
      <c r="F85" s="47"/>
      <c r="G85" s="46"/>
      <c r="H85" s="46"/>
      <c r="I85" s="47"/>
      <c r="J85" s="47"/>
      <c r="K85" s="47"/>
      <c r="L85" s="46" t="str">
        <f t="shared" si="17"/>
        <v>L(100)Eq</v>
      </c>
      <c r="M85" s="46"/>
      <c r="N85" s="49"/>
      <c r="O85" s="48"/>
      <c r="P85" s="49"/>
      <c r="S85" s="12"/>
      <c r="T85" s="12"/>
      <c r="U85" s="12"/>
      <c r="V85" s="12"/>
      <c r="W85" s="12"/>
    </row>
    <row r="86" spans="2:23">
      <c r="B86" s="46" t="s">
        <v>1746</v>
      </c>
      <c r="C86" s="46" t="s">
        <v>1747</v>
      </c>
      <c r="D86" s="46" t="s">
        <v>13</v>
      </c>
      <c r="E86" s="47">
        <v>20</v>
      </c>
      <c r="F86" s="47"/>
      <c r="G86" s="46"/>
      <c r="H86" s="46"/>
      <c r="I86" s="47"/>
      <c r="J86" s="47"/>
      <c r="K86" s="47"/>
      <c r="L86" s="46" t="str">
        <f t="shared" si="17"/>
        <v>L(20)Eq</v>
      </c>
      <c r="M86" s="46"/>
      <c r="N86" s="49"/>
      <c r="O86" s="48"/>
      <c r="P86" s="49"/>
      <c r="S86" s="12"/>
      <c r="T86" s="12"/>
      <c r="U86" s="12"/>
      <c r="V86" s="12"/>
      <c r="W86" s="12"/>
    </row>
    <row r="87" spans="2:23">
      <c r="B87" s="46" t="s">
        <v>1748</v>
      </c>
      <c r="C87" s="46" t="s">
        <v>1749</v>
      </c>
      <c r="D87" s="46" t="s">
        <v>13</v>
      </c>
      <c r="E87" s="47">
        <v>20</v>
      </c>
      <c r="F87" s="47"/>
      <c r="G87" s="46"/>
      <c r="H87" s="46"/>
      <c r="I87" s="47"/>
      <c r="J87" s="47"/>
      <c r="K87" s="47"/>
      <c r="L87" s="46" t="str">
        <f t="shared" si="17"/>
        <v>L(20)Eq</v>
      </c>
      <c r="M87" s="46"/>
      <c r="N87" s="49"/>
      <c r="O87" s="48"/>
      <c r="P87" s="49"/>
      <c r="S87" s="12"/>
      <c r="T87" s="12"/>
      <c r="U87" s="12"/>
      <c r="V87" s="12"/>
      <c r="W87" s="12"/>
    </row>
    <row r="88" spans="2:23">
      <c r="B88" s="46" t="s">
        <v>1750</v>
      </c>
      <c r="C88" s="46" t="s">
        <v>1751</v>
      </c>
      <c r="D88" s="46" t="s">
        <v>13</v>
      </c>
      <c r="E88" s="47">
        <v>20</v>
      </c>
      <c r="F88" s="47"/>
      <c r="G88" s="46"/>
      <c r="H88" s="46"/>
      <c r="I88" s="47"/>
      <c r="J88" s="47"/>
      <c r="K88" s="47"/>
      <c r="L88" s="46" t="str">
        <f t="shared" si="17"/>
        <v>L(20)Eq</v>
      </c>
      <c r="M88" s="46"/>
      <c r="N88" s="49"/>
      <c r="O88" s="48"/>
      <c r="P88" s="49"/>
      <c r="S88" s="12"/>
      <c r="T88" s="12"/>
      <c r="U88" s="12"/>
      <c r="V88" s="12"/>
      <c r="W88" s="12"/>
    </row>
    <row r="89" spans="2:23">
      <c r="B89" s="46" t="s">
        <v>1752</v>
      </c>
      <c r="C89" s="46" t="s">
        <v>1753</v>
      </c>
      <c r="D89" s="46" t="s">
        <v>193</v>
      </c>
      <c r="E89" s="47">
        <v>100</v>
      </c>
      <c r="F89" s="47"/>
      <c r="G89" s="46"/>
      <c r="H89" s="46"/>
      <c r="I89" s="47"/>
      <c r="J89" s="47"/>
      <c r="K89" s="47"/>
      <c r="L89" s="46" t="str">
        <f t="shared" si="17"/>
        <v>L(100)Eq</v>
      </c>
      <c r="M89" s="46"/>
      <c r="N89" s="49"/>
      <c r="O89" s="48"/>
      <c r="P89" s="49"/>
      <c r="S89" s="12"/>
      <c r="T89" s="12"/>
      <c r="U89" s="12"/>
      <c r="V89" s="12"/>
      <c r="W89" s="12"/>
    </row>
    <row r="90" spans="2:23">
      <c r="B90" s="46" t="s">
        <v>1754</v>
      </c>
      <c r="C90" s="46" t="s">
        <v>1755</v>
      </c>
      <c r="D90" s="46" t="s">
        <v>13</v>
      </c>
      <c r="E90" s="47">
        <v>10</v>
      </c>
      <c r="F90" s="47"/>
      <c r="G90" s="46"/>
      <c r="H90" s="46"/>
      <c r="I90" s="47"/>
      <c r="J90" s="47"/>
      <c r="K90" s="47"/>
      <c r="L90" s="46" t="str">
        <f t="shared" si="17"/>
        <v>L(10)Eq</v>
      </c>
      <c r="M90" s="46"/>
      <c r="N90" s="49"/>
      <c r="O90" s="48"/>
      <c r="P90" s="49"/>
      <c r="S90" s="12"/>
      <c r="T90" s="12"/>
      <c r="U90" s="12"/>
      <c r="V90" s="12"/>
      <c r="W90" s="12"/>
    </row>
    <row r="91" spans="2:23">
      <c r="B91" s="46" t="s">
        <v>1756</v>
      </c>
      <c r="C91" s="46" t="s">
        <v>1757</v>
      </c>
      <c r="D91" s="46" t="s">
        <v>13</v>
      </c>
      <c r="E91" s="47">
        <v>4</v>
      </c>
      <c r="F91" s="47"/>
      <c r="G91" s="46"/>
      <c r="H91" s="46"/>
      <c r="I91" s="47"/>
      <c r="J91" s="47"/>
      <c r="K91" s="47"/>
      <c r="L91" s="46" t="str">
        <f t="shared" si="17"/>
        <v>L(4)Eq</v>
      </c>
      <c r="M91" s="46"/>
      <c r="N91" s="49"/>
      <c r="O91" s="48"/>
      <c r="P91" s="49"/>
      <c r="S91" s="12"/>
      <c r="T91" s="12"/>
      <c r="U91" s="12"/>
      <c r="V91" s="12"/>
      <c r="W91" s="12"/>
    </row>
    <row r="92" spans="2:23">
      <c r="B92" s="46" t="s">
        <v>1758</v>
      </c>
      <c r="C92" s="46" t="s">
        <v>1759</v>
      </c>
      <c r="D92" s="46" t="s">
        <v>13</v>
      </c>
      <c r="E92" s="47">
        <v>2</v>
      </c>
      <c r="F92" s="47"/>
      <c r="G92" s="46"/>
      <c r="H92" s="46"/>
      <c r="I92" s="47"/>
      <c r="J92" s="47"/>
      <c r="K92" s="47"/>
      <c r="L92" s="46" t="str">
        <f t="shared" si="17"/>
        <v>L(2)Eq</v>
      </c>
      <c r="M92" s="46"/>
      <c r="N92" s="49"/>
      <c r="O92" s="48"/>
      <c r="P92" s="49"/>
      <c r="S92" s="12"/>
      <c r="T92" s="12"/>
      <c r="U92" s="12"/>
      <c r="V92" s="12"/>
      <c r="W92" s="12"/>
    </row>
    <row r="93" spans="2:23">
      <c r="B93" s="46" t="s">
        <v>1760</v>
      </c>
      <c r="C93" s="46" t="s">
        <v>1761</v>
      </c>
      <c r="D93" s="46" t="s">
        <v>13</v>
      </c>
      <c r="E93" s="47">
        <v>2</v>
      </c>
      <c r="F93" s="47"/>
      <c r="G93" s="46"/>
      <c r="H93" s="46"/>
      <c r="I93" s="47"/>
      <c r="J93" s="47"/>
      <c r="K93" s="47"/>
      <c r="L93" s="46" t="str">
        <f t="shared" si="17"/>
        <v>L(2)Eq</v>
      </c>
      <c r="M93" s="46"/>
      <c r="N93" s="49"/>
      <c r="O93" s="48"/>
      <c r="P93" s="49"/>
      <c r="S93" s="12"/>
      <c r="T93" s="12"/>
      <c r="U93" s="12"/>
      <c r="V93" s="12"/>
      <c r="W93" s="12"/>
    </row>
    <row r="94" spans="2:23">
      <c r="B94" s="46" t="s">
        <v>1762</v>
      </c>
      <c r="C94" s="46" t="s">
        <v>1763</v>
      </c>
      <c r="D94" s="46" t="s">
        <v>230</v>
      </c>
      <c r="E94" s="47">
        <v>4</v>
      </c>
      <c r="F94" s="47"/>
      <c r="G94" s="46"/>
      <c r="H94" s="46"/>
      <c r="I94" s="47"/>
      <c r="J94" s="47"/>
      <c r="K94" s="47"/>
      <c r="L94" s="46">
        <v>0</v>
      </c>
      <c r="M94" s="46"/>
      <c r="N94" s="49"/>
      <c r="O94" s="48"/>
      <c r="P94" s="49"/>
      <c r="S94" s="12"/>
      <c r="T94" s="12"/>
      <c r="U94" s="12"/>
      <c r="V94" s="12"/>
      <c r="W94" s="12"/>
    </row>
    <row r="95" spans="2:23">
      <c r="B95" s="46" t="s">
        <v>1764</v>
      </c>
      <c r="C95" s="46" t="s">
        <v>1765</v>
      </c>
      <c r="D95" s="46" t="s">
        <v>193</v>
      </c>
      <c r="E95" s="47">
        <v>100</v>
      </c>
      <c r="F95" s="47"/>
      <c r="G95" s="46"/>
      <c r="H95" s="46"/>
      <c r="I95" s="47"/>
      <c r="J95" s="47"/>
      <c r="K95" s="47"/>
      <c r="L95" s="46" t="str">
        <f t="shared" si="17"/>
        <v>L(100)Eq</v>
      </c>
      <c r="M95" s="46"/>
      <c r="N95" s="49"/>
      <c r="O95" s="48"/>
      <c r="P95" s="49"/>
      <c r="S95" s="12"/>
      <c r="T95" s="12"/>
      <c r="U95" s="12"/>
      <c r="V95" s="12"/>
      <c r="W95" s="12"/>
    </row>
    <row r="96" spans="2:23">
      <c r="B96" s="46" t="s">
        <v>1766</v>
      </c>
      <c r="C96" s="46" t="s">
        <v>1767</v>
      </c>
      <c r="D96" s="46" t="s">
        <v>193</v>
      </c>
      <c r="E96" s="47">
        <v>100</v>
      </c>
      <c r="F96" s="47"/>
      <c r="G96" s="46"/>
      <c r="H96" s="46"/>
      <c r="I96" s="47"/>
      <c r="J96" s="47"/>
      <c r="K96" s="47"/>
      <c r="L96" s="46" t="str">
        <f t="shared" si="17"/>
        <v>L(100)Eq</v>
      </c>
      <c r="M96" s="46" t="s">
        <v>959</v>
      </c>
      <c r="N96" s="49" t="s">
        <v>1802</v>
      </c>
      <c r="O96" s="48"/>
      <c r="P96" s="49" t="s">
        <v>1810</v>
      </c>
      <c r="S96" s="12"/>
      <c r="T96" s="12"/>
      <c r="U96" s="12"/>
      <c r="V96" s="12"/>
      <c r="W96" s="12"/>
    </row>
    <row r="97" spans="2:23">
      <c r="B97" s="46" t="s">
        <v>1768</v>
      </c>
      <c r="C97" s="46" t="s">
        <v>1769</v>
      </c>
      <c r="D97" s="46" t="s">
        <v>193</v>
      </c>
      <c r="E97" s="47">
        <v>100</v>
      </c>
      <c r="F97" s="47"/>
      <c r="G97" s="46"/>
      <c r="H97" s="46"/>
      <c r="I97" s="47"/>
      <c r="J97" s="47"/>
      <c r="K97" s="47"/>
      <c r="L97" s="46" t="str">
        <f t="shared" si="17"/>
        <v>L(100)Eq</v>
      </c>
      <c r="M97" s="46" t="s">
        <v>959</v>
      </c>
      <c r="N97" s="49" t="s">
        <v>1803</v>
      </c>
      <c r="O97" s="48"/>
      <c r="P97" s="49"/>
      <c r="S97" s="12"/>
      <c r="T97" s="12"/>
      <c r="U97" s="12"/>
      <c r="V97" s="12"/>
      <c r="W97" s="12"/>
    </row>
    <row r="98" spans="2:23">
      <c r="B98" s="46" t="s">
        <v>1770</v>
      </c>
      <c r="C98" s="46" t="s">
        <v>1771</v>
      </c>
      <c r="D98" s="46" t="s">
        <v>13</v>
      </c>
      <c r="E98" s="47">
        <v>7</v>
      </c>
      <c r="F98" s="47"/>
      <c r="G98" s="46"/>
      <c r="H98" s="46"/>
      <c r="I98" s="47"/>
      <c r="J98" s="47"/>
      <c r="K98" s="47"/>
      <c r="L98" s="46" t="str">
        <f t="shared" si="17"/>
        <v>L(7)Eq</v>
      </c>
      <c r="M98" s="46"/>
      <c r="N98" s="49"/>
      <c r="O98" s="48"/>
      <c r="P98" s="49"/>
      <c r="S98" s="12"/>
      <c r="T98" s="12"/>
      <c r="U98" s="12"/>
      <c r="V98" s="12"/>
      <c r="W98" s="12"/>
    </row>
    <row r="99" spans="2:23">
      <c r="B99" s="46" t="s">
        <v>1772</v>
      </c>
      <c r="C99" s="46" t="s">
        <v>1773</v>
      </c>
      <c r="D99" s="46" t="s">
        <v>193</v>
      </c>
      <c r="E99" s="47">
        <v>10</v>
      </c>
      <c r="F99" s="47"/>
      <c r="G99" s="46"/>
      <c r="H99" s="46"/>
      <c r="I99" s="47"/>
      <c r="J99" s="47"/>
      <c r="K99" s="47"/>
      <c r="L99" s="46" t="str">
        <f t="shared" si="17"/>
        <v>L(10)Eq</v>
      </c>
      <c r="M99" s="46"/>
      <c r="N99" s="49"/>
      <c r="O99" s="48"/>
      <c r="P99" s="49"/>
      <c r="S99" s="12"/>
      <c r="T99" s="12"/>
      <c r="U99" s="12"/>
      <c r="V99" s="12"/>
      <c r="W99" s="12"/>
    </row>
    <row r="100" spans="2:23">
      <c r="B100" s="46" t="s">
        <v>1774</v>
      </c>
      <c r="C100" s="46" t="s">
        <v>1775</v>
      </c>
      <c r="D100" s="46" t="s">
        <v>193</v>
      </c>
      <c r="E100" s="47">
        <v>100</v>
      </c>
      <c r="F100" s="47"/>
      <c r="G100" s="46"/>
      <c r="H100" s="46"/>
      <c r="I100" s="47"/>
      <c r="J100" s="47"/>
      <c r="K100" s="47"/>
      <c r="L100" s="46" t="str">
        <f t="shared" si="17"/>
        <v>L(100)Eq</v>
      </c>
      <c r="M100" s="46"/>
      <c r="N100" s="49"/>
      <c r="O100" s="48"/>
      <c r="P100" s="49"/>
      <c r="S100" s="12"/>
      <c r="T100" s="12"/>
      <c r="U100" s="12"/>
      <c r="V100" s="12"/>
      <c r="W100" s="12"/>
    </row>
    <row r="101" spans="2:23">
      <c r="B101" s="46" t="s">
        <v>1776</v>
      </c>
      <c r="C101" s="46" t="s">
        <v>1777</v>
      </c>
      <c r="D101" s="46" t="s">
        <v>193</v>
      </c>
      <c r="E101" s="47">
        <v>100</v>
      </c>
      <c r="F101" s="47"/>
      <c r="G101" s="46"/>
      <c r="H101" s="46"/>
      <c r="I101" s="47"/>
      <c r="J101" s="47"/>
      <c r="K101" s="47"/>
      <c r="L101" s="46" t="str">
        <f t="shared" si="17"/>
        <v>L(100)Eq</v>
      </c>
      <c r="M101" s="46"/>
      <c r="N101" s="49"/>
      <c r="O101" s="48"/>
      <c r="P101" s="49"/>
      <c r="S101" s="12"/>
      <c r="T101" s="12"/>
      <c r="U101" s="12"/>
      <c r="V101" s="12"/>
      <c r="W101" s="12"/>
    </row>
    <row r="102" spans="2:23">
      <c r="B102" s="46" t="s">
        <v>1778</v>
      </c>
      <c r="C102" s="46" t="s">
        <v>1779</v>
      </c>
      <c r="D102" s="46" t="s">
        <v>193</v>
      </c>
      <c r="E102" s="47">
        <v>100</v>
      </c>
      <c r="F102" s="47"/>
      <c r="G102" s="46"/>
      <c r="H102" s="46"/>
      <c r="I102" s="47"/>
      <c r="J102" s="47"/>
      <c r="K102" s="47"/>
      <c r="L102" s="46" t="str">
        <f t="shared" si="17"/>
        <v>L(100)Eq</v>
      </c>
      <c r="M102" s="46"/>
      <c r="N102" s="49"/>
      <c r="O102" s="48"/>
      <c r="P102" s="49"/>
      <c r="S102" s="12"/>
      <c r="T102" s="12"/>
      <c r="U102" s="12"/>
      <c r="V102" s="12"/>
      <c r="W102" s="12"/>
    </row>
    <row r="103" spans="2:23">
      <c r="B103" s="46" t="s">
        <v>1780</v>
      </c>
      <c r="C103" s="46" t="s">
        <v>1781</v>
      </c>
      <c r="D103" s="46" t="s">
        <v>13</v>
      </c>
      <c r="E103" s="47">
        <v>20</v>
      </c>
      <c r="F103" s="47"/>
      <c r="G103" s="46"/>
      <c r="H103" s="46"/>
      <c r="I103" s="47"/>
      <c r="J103" s="47"/>
      <c r="K103" s="47"/>
      <c r="L103" s="46" t="str">
        <f t="shared" si="17"/>
        <v>L(20)Eq</v>
      </c>
      <c r="M103" s="46"/>
      <c r="N103" s="49"/>
      <c r="O103" s="48"/>
      <c r="P103" s="49"/>
      <c r="S103" s="12"/>
      <c r="T103" s="12"/>
      <c r="U103" s="12"/>
      <c r="V103" s="12"/>
      <c r="W103" s="12"/>
    </row>
    <row r="104" spans="2:23">
      <c r="B104" s="46" t="s">
        <v>1782</v>
      </c>
      <c r="C104" s="46" t="s">
        <v>1783</v>
      </c>
      <c r="D104" s="46" t="s">
        <v>13</v>
      </c>
      <c r="E104" s="47">
        <v>20</v>
      </c>
      <c r="F104" s="47"/>
      <c r="G104" s="46"/>
      <c r="H104" s="46"/>
      <c r="I104" s="47"/>
      <c r="J104" s="47"/>
      <c r="K104" s="47"/>
      <c r="L104" s="46" t="str">
        <f t="shared" si="17"/>
        <v>L(20)Eq</v>
      </c>
      <c r="M104" s="46"/>
      <c r="N104" s="49"/>
      <c r="O104" s="48"/>
      <c r="P104" s="49"/>
      <c r="S104" s="12"/>
      <c r="T104" s="12"/>
      <c r="U104" s="12"/>
      <c r="V104" s="12"/>
      <c r="W104" s="12"/>
    </row>
    <row r="105" spans="2:23">
      <c r="B105" s="46" t="s">
        <v>1784</v>
      </c>
      <c r="C105" s="46" t="s">
        <v>1785</v>
      </c>
      <c r="D105" s="46" t="s">
        <v>193</v>
      </c>
      <c r="E105" s="47">
        <v>255</v>
      </c>
      <c r="F105" s="47"/>
      <c r="G105" s="46"/>
      <c r="H105" s="46"/>
      <c r="I105" s="47"/>
      <c r="J105" s="47"/>
      <c r="K105" s="47"/>
      <c r="L105" s="46" t="s">
        <v>194</v>
      </c>
      <c r="M105" s="46" t="s">
        <v>158</v>
      </c>
      <c r="N105" s="49"/>
      <c r="O105" s="48"/>
      <c r="P105" s="49"/>
      <c r="S105" s="12"/>
      <c r="T105" s="12"/>
      <c r="U105" s="12"/>
      <c r="V105" s="12"/>
      <c r="W105" s="12"/>
    </row>
    <row r="106" spans="2:23">
      <c r="B106" s="46" t="s">
        <v>1786</v>
      </c>
      <c r="C106" s="46" t="s">
        <v>1787</v>
      </c>
      <c r="D106" s="46" t="s">
        <v>193</v>
      </c>
      <c r="E106" s="47">
        <v>255</v>
      </c>
      <c r="F106" s="47"/>
      <c r="G106" s="46"/>
      <c r="H106" s="46"/>
      <c r="I106" s="47"/>
      <c r="J106" s="47"/>
      <c r="K106" s="47"/>
      <c r="L106" s="46" t="s">
        <v>194</v>
      </c>
      <c r="M106" s="46" t="s">
        <v>158</v>
      </c>
      <c r="N106" s="49"/>
      <c r="O106" s="48"/>
      <c r="P106" s="49"/>
      <c r="S106" s="12"/>
      <c r="T106" s="12"/>
      <c r="U106" s="12"/>
      <c r="V106" s="12"/>
      <c r="W106" s="12"/>
    </row>
    <row r="107" spans="2:23">
      <c r="B107" s="46" t="s">
        <v>1788</v>
      </c>
      <c r="C107" s="46" t="s">
        <v>1789</v>
      </c>
      <c r="D107" s="46" t="s">
        <v>193</v>
      </c>
      <c r="E107" s="47">
        <v>255</v>
      </c>
      <c r="F107" s="47"/>
      <c r="G107" s="46"/>
      <c r="H107" s="46"/>
      <c r="I107" s="47"/>
      <c r="J107" s="47"/>
      <c r="K107" s="47"/>
      <c r="L107" s="46" t="s">
        <v>194</v>
      </c>
      <c r="M107" s="46" t="s">
        <v>158</v>
      </c>
      <c r="N107" s="49"/>
      <c r="O107" s="48"/>
      <c r="P107" s="49"/>
      <c r="S107" s="12"/>
      <c r="T107" s="12"/>
      <c r="U107" s="12"/>
      <c r="V107" s="12"/>
      <c r="W107" s="12"/>
    </row>
    <row r="108" spans="2:23">
      <c r="B108" s="46" t="s">
        <v>252</v>
      </c>
      <c r="C108" s="46" t="s">
        <v>253</v>
      </c>
      <c r="D108" s="46" t="s">
        <v>193</v>
      </c>
      <c r="E108" s="47">
        <v>100</v>
      </c>
      <c r="F108" s="47"/>
      <c r="G108" s="46"/>
      <c r="H108" s="46"/>
      <c r="I108" s="47"/>
      <c r="J108" s="47"/>
      <c r="K108" s="47"/>
      <c r="L108" s="46" t="s">
        <v>254</v>
      </c>
      <c r="M108" s="46" t="s">
        <v>158</v>
      </c>
      <c r="N108" s="49" t="s">
        <v>1804</v>
      </c>
      <c r="O108" s="48"/>
      <c r="P108" s="49"/>
      <c r="S108" s="12"/>
      <c r="T108" s="12"/>
      <c r="U108" s="12"/>
      <c r="V108" s="12"/>
      <c r="W108" s="12"/>
    </row>
    <row r="109" spans="2:23">
      <c r="B109" s="46" t="s">
        <v>255</v>
      </c>
      <c r="C109" s="46" t="s">
        <v>256</v>
      </c>
      <c r="D109" s="46" t="s">
        <v>193</v>
      </c>
      <c r="E109" s="47">
        <v>100</v>
      </c>
      <c r="F109" s="47"/>
      <c r="G109" s="46"/>
      <c r="H109" s="46"/>
      <c r="I109" s="47"/>
      <c r="J109" s="47"/>
      <c r="K109" s="47"/>
      <c r="L109" s="46" t="s">
        <v>254</v>
      </c>
      <c r="M109" s="46" t="s">
        <v>158</v>
      </c>
      <c r="N109" s="49" t="s">
        <v>1805</v>
      </c>
      <c r="O109" s="48"/>
      <c r="P109" s="49"/>
      <c r="S109" s="12"/>
      <c r="T109" s="12"/>
      <c r="U109" s="12"/>
      <c r="V109" s="12"/>
      <c r="W109" s="12"/>
    </row>
    <row r="110" spans="2:23">
      <c r="B110" s="46" t="s">
        <v>257</v>
      </c>
      <c r="C110" s="46" t="s">
        <v>258</v>
      </c>
      <c r="D110" s="46" t="s">
        <v>193</v>
      </c>
      <c r="E110" s="47">
        <v>100</v>
      </c>
      <c r="F110" s="47"/>
      <c r="G110" s="46"/>
      <c r="H110" s="46"/>
      <c r="I110" s="47"/>
      <c r="J110" s="47"/>
      <c r="K110" s="47"/>
      <c r="L110" s="46" t="s">
        <v>254</v>
      </c>
      <c r="M110" s="46"/>
      <c r="N110" s="49"/>
      <c r="O110" s="48"/>
      <c r="P110" s="49" t="s">
        <v>1810</v>
      </c>
      <c r="S110" s="12"/>
      <c r="T110" s="12"/>
      <c r="U110" s="12"/>
      <c r="V110" s="12"/>
      <c r="W110" s="12"/>
    </row>
    <row r="111" spans="2:23">
      <c r="B111" s="46" t="s">
        <v>259</v>
      </c>
      <c r="C111" s="46" t="s">
        <v>260</v>
      </c>
      <c r="D111" s="46" t="s">
        <v>193</v>
      </c>
      <c r="E111" s="47">
        <v>100</v>
      </c>
      <c r="F111" s="47"/>
      <c r="G111" s="46"/>
      <c r="H111" s="46"/>
      <c r="I111" s="47"/>
      <c r="J111" s="47"/>
      <c r="K111" s="47"/>
      <c r="L111" s="46" t="str">
        <f t="shared" ref="L111:L117" si="18">"L("&amp;E111&amp;")Eq"</f>
        <v>L(100)Eq</v>
      </c>
      <c r="M111" s="46" t="s">
        <v>959</v>
      </c>
      <c r="N111" s="49" t="s">
        <v>1313</v>
      </c>
      <c r="O111" s="48"/>
      <c r="P111" s="49" t="s">
        <v>1811</v>
      </c>
      <c r="S111" s="12"/>
      <c r="T111" s="12"/>
      <c r="U111" s="12"/>
      <c r="V111" s="12"/>
      <c r="W111" s="12"/>
    </row>
    <row r="112" spans="2:23">
      <c r="B112" s="46" t="s">
        <v>261</v>
      </c>
      <c r="C112" s="46" t="s">
        <v>262</v>
      </c>
      <c r="D112" s="46" t="s">
        <v>193</v>
      </c>
      <c r="E112" s="47">
        <v>100</v>
      </c>
      <c r="F112" s="47"/>
      <c r="G112" s="46"/>
      <c r="H112" s="46"/>
      <c r="I112" s="47"/>
      <c r="J112" s="47"/>
      <c r="K112" s="47"/>
      <c r="L112" s="46" t="str">
        <f t="shared" si="18"/>
        <v>L(100)Eq</v>
      </c>
      <c r="M112" s="46" t="s">
        <v>959</v>
      </c>
      <c r="N112" s="49" t="s">
        <v>1806</v>
      </c>
      <c r="O112" s="48"/>
      <c r="P112" s="49" t="s">
        <v>1812</v>
      </c>
      <c r="S112" s="12"/>
      <c r="T112" s="12"/>
      <c r="U112" s="12"/>
      <c r="V112" s="12"/>
      <c r="W112" s="12"/>
    </row>
    <row r="113" spans="2:23">
      <c r="B113" s="46" t="s">
        <v>900</v>
      </c>
      <c r="C113" s="46" t="s">
        <v>901</v>
      </c>
      <c r="D113" s="46" t="s">
        <v>193</v>
      </c>
      <c r="E113" s="47">
        <v>100</v>
      </c>
      <c r="F113" s="47"/>
      <c r="G113" s="46"/>
      <c r="H113" s="46"/>
      <c r="I113" s="47"/>
      <c r="J113" s="47"/>
      <c r="K113" s="47"/>
      <c r="L113" s="46" t="str">
        <f t="shared" si="18"/>
        <v>L(100)Eq</v>
      </c>
      <c r="M113" s="46" t="s">
        <v>959</v>
      </c>
      <c r="N113" s="49" t="s">
        <v>1807</v>
      </c>
      <c r="O113" s="48"/>
      <c r="P113" s="49"/>
      <c r="S113" s="12"/>
      <c r="T113" s="12"/>
      <c r="U113" s="12"/>
      <c r="V113" s="12"/>
      <c r="W113" s="12"/>
    </row>
    <row r="114" spans="2:23">
      <c r="B114" s="46" t="s">
        <v>902</v>
      </c>
      <c r="C114" s="46" t="s">
        <v>903</v>
      </c>
      <c r="D114" s="46" t="s">
        <v>193</v>
      </c>
      <c r="E114" s="47">
        <v>100</v>
      </c>
      <c r="F114" s="47"/>
      <c r="G114" s="46"/>
      <c r="H114" s="46"/>
      <c r="I114" s="47"/>
      <c r="J114" s="47"/>
      <c r="K114" s="47"/>
      <c r="L114" s="46" t="str">
        <f t="shared" si="18"/>
        <v>L(100)Eq</v>
      </c>
      <c r="M114" s="46" t="s">
        <v>959</v>
      </c>
      <c r="N114" s="49" t="s">
        <v>1808</v>
      </c>
      <c r="O114" s="48"/>
      <c r="P114" s="49"/>
      <c r="S114" s="12"/>
      <c r="T114" s="12"/>
      <c r="U114" s="12"/>
      <c r="V114" s="12"/>
      <c r="W114" s="12"/>
    </row>
    <row r="115" spans="2:23">
      <c r="B115" s="46" t="s">
        <v>904</v>
      </c>
      <c r="C115" s="46" t="s">
        <v>905</v>
      </c>
      <c r="D115" s="46" t="s">
        <v>193</v>
      </c>
      <c r="E115" s="47">
        <v>100</v>
      </c>
      <c r="F115" s="47"/>
      <c r="G115" s="46"/>
      <c r="H115" s="46"/>
      <c r="I115" s="47"/>
      <c r="J115" s="47"/>
      <c r="K115" s="47"/>
      <c r="L115" s="46" t="str">
        <f t="shared" si="18"/>
        <v>L(100)Eq</v>
      </c>
      <c r="M115" s="46"/>
      <c r="N115" s="49"/>
      <c r="O115" s="48"/>
      <c r="P115" s="49"/>
      <c r="S115" s="12"/>
      <c r="T115" s="12"/>
      <c r="U115" s="12"/>
      <c r="V115" s="12"/>
      <c r="W115" s="12"/>
    </row>
    <row r="116" spans="2:23">
      <c r="B116" s="46" t="s">
        <v>906</v>
      </c>
      <c r="C116" s="46" t="s">
        <v>907</v>
      </c>
      <c r="D116" s="46" t="s">
        <v>193</v>
      </c>
      <c r="E116" s="47">
        <v>100</v>
      </c>
      <c r="F116" s="47"/>
      <c r="G116" s="46"/>
      <c r="H116" s="46"/>
      <c r="I116" s="47"/>
      <c r="J116" s="47"/>
      <c r="K116" s="47"/>
      <c r="L116" s="46" t="str">
        <f t="shared" si="18"/>
        <v>L(100)Eq</v>
      </c>
      <c r="M116" s="46"/>
      <c r="N116" s="49"/>
      <c r="O116" s="48"/>
      <c r="P116" s="49"/>
      <c r="S116" s="12"/>
      <c r="T116" s="12"/>
      <c r="U116" s="12"/>
      <c r="V116" s="12"/>
      <c r="W116" s="12"/>
    </row>
    <row r="117" spans="2:23">
      <c r="B117" s="46" t="s">
        <v>908</v>
      </c>
      <c r="C117" s="46" t="s">
        <v>909</v>
      </c>
      <c r="D117" s="46" t="s">
        <v>193</v>
      </c>
      <c r="E117" s="47">
        <v>100</v>
      </c>
      <c r="F117" s="47"/>
      <c r="G117" s="46"/>
      <c r="H117" s="46"/>
      <c r="I117" s="47"/>
      <c r="J117" s="47"/>
      <c r="K117" s="47"/>
      <c r="L117" s="46" t="str">
        <f t="shared" si="18"/>
        <v>L(100)Eq</v>
      </c>
      <c r="M117" s="46"/>
      <c r="N117" s="49"/>
      <c r="O117" s="48"/>
      <c r="P117" s="49"/>
      <c r="S117" s="12"/>
      <c r="T117" s="12"/>
      <c r="U117" s="12"/>
      <c r="V117" s="12"/>
      <c r="W117" s="12"/>
    </row>
    <row r="118" spans="2:23">
      <c r="B118" s="46" t="s">
        <v>330</v>
      </c>
      <c r="C118" s="46" t="s">
        <v>331</v>
      </c>
      <c r="D118" s="46" t="s">
        <v>13</v>
      </c>
      <c r="E118" s="47" t="s">
        <v>48</v>
      </c>
      <c r="F118" s="47"/>
      <c r="G118" s="46"/>
      <c r="H118" s="46"/>
      <c r="I118" s="47"/>
      <c r="J118" s="47"/>
      <c r="K118" s="47"/>
      <c r="L118" s="46" t="s">
        <v>204</v>
      </c>
      <c r="M118" s="46" t="s">
        <v>158</v>
      </c>
      <c r="N118" s="49"/>
      <c r="O118" s="48"/>
      <c r="P118" s="49"/>
      <c r="S118" s="12"/>
      <c r="T118" s="12"/>
      <c r="U118" s="12"/>
      <c r="V118" s="12"/>
      <c r="W118" s="12"/>
    </row>
    <row r="119" spans="2:23">
      <c r="B119" s="46" t="s">
        <v>332</v>
      </c>
      <c r="C119" s="46" t="s">
        <v>333</v>
      </c>
      <c r="D119" s="46" t="s">
        <v>13</v>
      </c>
      <c r="E119" s="47" t="s">
        <v>48</v>
      </c>
      <c r="F119" s="47"/>
      <c r="G119" s="46"/>
      <c r="H119" s="46"/>
      <c r="I119" s="47"/>
      <c r="J119" s="47"/>
      <c r="K119" s="47"/>
      <c r="L119" s="46" t="s">
        <v>204</v>
      </c>
      <c r="M119" s="46" t="s">
        <v>158</v>
      </c>
      <c r="N119" s="49"/>
      <c r="O119" s="48"/>
      <c r="P119" s="49"/>
      <c r="S119" s="12"/>
      <c r="T119" s="12"/>
      <c r="U119" s="12"/>
      <c r="V119" s="12"/>
      <c r="W119" s="12"/>
    </row>
    <row r="120" spans="2:23">
      <c r="B120" s="46" t="s">
        <v>334</v>
      </c>
      <c r="C120" s="46" t="s">
        <v>335</v>
      </c>
      <c r="D120" s="46" t="s">
        <v>13</v>
      </c>
      <c r="E120" s="47" t="s">
        <v>48</v>
      </c>
      <c r="F120" s="47"/>
      <c r="G120" s="46"/>
      <c r="H120" s="46"/>
      <c r="I120" s="47"/>
      <c r="J120" s="47"/>
      <c r="K120" s="47"/>
      <c r="L120" s="46" t="s">
        <v>204</v>
      </c>
      <c r="M120" s="46" t="s">
        <v>158</v>
      </c>
      <c r="N120" s="49"/>
      <c r="O120" s="48"/>
      <c r="P120" s="49"/>
      <c r="S120" s="12"/>
      <c r="T120" s="12"/>
      <c r="U120" s="12"/>
      <c r="V120" s="12"/>
      <c r="W120" s="12"/>
    </row>
    <row r="121" spans="2:23">
      <c r="B121" s="46" t="s">
        <v>43</v>
      </c>
      <c r="C121" s="46" t="s">
        <v>16</v>
      </c>
      <c r="D121" s="46" t="s">
        <v>17</v>
      </c>
      <c r="E121" s="47">
        <v>8</v>
      </c>
      <c r="F121" s="47"/>
      <c r="G121" s="46" t="s">
        <v>1793</v>
      </c>
      <c r="H121" s="46"/>
      <c r="I121" s="47"/>
      <c r="J121" s="47"/>
      <c r="K121" s="47"/>
      <c r="L121" s="46" t="s">
        <v>1794</v>
      </c>
      <c r="M121" s="46" t="s">
        <v>14</v>
      </c>
      <c r="N121" s="49"/>
      <c r="O121" s="48"/>
      <c r="P121" s="49" t="s">
        <v>1813</v>
      </c>
      <c r="S121" s="12"/>
      <c r="T121" s="12"/>
      <c r="U121" s="12"/>
      <c r="V121" s="12"/>
      <c r="W121" s="12"/>
    </row>
    <row r="122" spans="2:23">
      <c r="B122" s="46" t="s">
        <v>44</v>
      </c>
      <c r="C122" s="46" t="s">
        <v>18</v>
      </c>
      <c r="D122" s="46" t="s">
        <v>17</v>
      </c>
      <c r="E122" s="47">
        <v>8</v>
      </c>
      <c r="F122" s="47"/>
      <c r="G122" s="46" t="s">
        <v>1793</v>
      </c>
      <c r="H122" s="46"/>
      <c r="I122" s="47"/>
      <c r="J122" s="47"/>
      <c r="K122" s="47"/>
      <c r="L122" s="46" t="s">
        <v>1794</v>
      </c>
      <c r="M122" s="46" t="s">
        <v>14</v>
      </c>
      <c r="N122" s="49"/>
      <c r="O122" s="48"/>
      <c r="P122" s="49" t="s">
        <v>1814</v>
      </c>
      <c r="S122" s="12"/>
      <c r="T122" s="12"/>
      <c r="U122" s="12"/>
      <c r="V122" s="12"/>
      <c r="W122" s="12"/>
    </row>
    <row r="123" spans="2:23">
      <c r="B123" s="46" t="s">
        <v>19</v>
      </c>
      <c r="C123" s="46" t="s">
        <v>20</v>
      </c>
      <c r="D123" s="46" t="s">
        <v>13</v>
      </c>
      <c r="E123" s="47">
        <v>40</v>
      </c>
      <c r="F123" s="47"/>
      <c r="G123" s="46"/>
      <c r="H123" s="46"/>
      <c r="I123" s="47"/>
      <c r="J123" s="47"/>
      <c r="K123" s="47"/>
      <c r="L123" s="46" t="s">
        <v>211</v>
      </c>
      <c r="M123" s="46" t="s">
        <v>14</v>
      </c>
      <c r="N123" s="49"/>
      <c r="O123" s="48"/>
      <c r="P123" s="49" t="s">
        <v>1813</v>
      </c>
      <c r="S123" s="12"/>
      <c r="T123" s="12"/>
      <c r="U123" s="12"/>
      <c r="V123" s="12"/>
      <c r="W123" s="12"/>
    </row>
    <row r="124" spans="2:23">
      <c r="B124" s="46" t="s">
        <v>21</v>
      </c>
      <c r="C124" s="46" t="s">
        <v>22</v>
      </c>
      <c r="D124" s="46" t="s">
        <v>13</v>
      </c>
      <c r="E124" s="47">
        <v>40</v>
      </c>
      <c r="F124" s="47"/>
      <c r="G124" s="46"/>
      <c r="H124" s="46"/>
      <c r="I124" s="47"/>
      <c r="J124" s="47"/>
      <c r="K124" s="47"/>
      <c r="L124" s="46" t="s">
        <v>211</v>
      </c>
      <c r="M124" s="46" t="s">
        <v>14</v>
      </c>
      <c r="N124" s="49"/>
      <c r="O124" s="48"/>
      <c r="P124" s="49" t="s">
        <v>1814</v>
      </c>
      <c r="S124" s="12"/>
      <c r="T124" s="12"/>
      <c r="U124" s="12"/>
      <c r="V124" s="12"/>
      <c r="W124" s="12"/>
    </row>
    <row r="125" spans="2:23">
      <c r="B125" s="46" t="s">
        <v>45</v>
      </c>
      <c r="C125" s="46" t="s">
        <v>46</v>
      </c>
      <c r="D125" s="46" t="s">
        <v>13</v>
      </c>
      <c r="E125" s="47">
        <v>10</v>
      </c>
      <c r="F125" s="47"/>
      <c r="G125" s="46"/>
      <c r="H125" s="46"/>
      <c r="I125" s="47"/>
      <c r="J125" s="47"/>
      <c r="K125" s="47"/>
      <c r="L125" s="46" t="s">
        <v>1795</v>
      </c>
      <c r="M125" s="46" t="s">
        <v>14</v>
      </c>
      <c r="N125" s="49" t="s">
        <v>1809</v>
      </c>
      <c r="O125" s="48"/>
      <c r="P125" s="49" t="s">
        <v>1815</v>
      </c>
      <c r="S125" s="12"/>
      <c r="T125" s="12"/>
      <c r="U125" s="12"/>
      <c r="V125" s="12"/>
      <c r="W125" s="12"/>
    </row>
  </sheetData>
  <mergeCells count="4">
    <mergeCell ref="D5:F5"/>
    <mergeCell ref="H5:P5"/>
    <mergeCell ref="D6:F6"/>
    <mergeCell ref="H6:P6"/>
  </mergeCells>
  <phoneticPr fontId="2"/>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850F-250D-4A21-9D0E-76FE014F8948}">
  <sheetPr codeName="Sheet9">
    <tabColor theme="7" tint="0.79998168889431442"/>
  </sheetPr>
  <dimension ref="A2:AC138"/>
  <sheetViews>
    <sheetView showGridLines="0" workbookViewId="0"/>
  </sheetViews>
  <sheetFormatPr defaultColWidth="8.90625" defaultRowHeight="15"/>
  <cols>
    <col min="1" max="1" width="2.54296875" style="44" customWidth="1"/>
    <col min="2" max="3" width="22.81640625" style="44" customWidth="1"/>
    <col min="4" max="4" width="7.1796875" style="44" bestFit="1" customWidth="1"/>
    <col min="5" max="5" width="5.1796875" style="44" customWidth="1"/>
    <col min="6" max="6" width="4.453125" style="44" customWidth="1"/>
    <col min="7" max="7" width="15.36328125" style="44" bestFit="1" customWidth="1"/>
    <col min="8" max="8" width="4.453125" style="44" customWidth="1"/>
    <col min="9" max="9" width="3.08984375" style="44" bestFit="1" customWidth="1"/>
    <col min="10" max="10" width="3.1796875" style="44" bestFit="1" customWidth="1"/>
    <col min="11" max="11" width="3" style="44" bestFit="1" customWidth="1"/>
    <col min="12" max="12" width="12" style="44" bestFit="1" customWidth="1"/>
    <col min="13" max="13" width="4.453125" style="44" customWidth="1"/>
    <col min="14" max="14" width="35.1796875" style="44" customWidth="1"/>
    <col min="15" max="15" width="27.36328125" style="44" customWidth="1"/>
    <col min="16" max="16" width="33.36328125" style="44" customWidth="1"/>
    <col min="17" max="17" width="2.36328125" style="44" customWidth="1"/>
    <col min="18" max="19" width="6.54296875" customWidth="1"/>
    <col min="20" max="20" width="15.1796875" customWidth="1"/>
    <col min="21" max="21" width="6.54296875" style="44" customWidth="1"/>
    <col min="22" max="26" width="34" style="44" customWidth="1"/>
    <col min="27" max="16384" width="8.90625" style="44"/>
  </cols>
  <sheetData>
    <row r="2" spans="1:29">
      <c r="A2" s="89"/>
      <c r="B2" s="112" t="s">
        <v>38</v>
      </c>
      <c r="C2" s="89"/>
      <c r="D2" s="89"/>
      <c r="E2" s="89"/>
      <c r="F2" s="89"/>
      <c r="G2" s="89"/>
      <c r="H2" s="89"/>
      <c r="I2" s="89"/>
      <c r="J2" s="89"/>
      <c r="K2" s="89"/>
      <c r="L2" s="89"/>
      <c r="M2" s="89"/>
      <c r="N2" s="89"/>
      <c r="O2" s="89"/>
      <c r="P2" s="89"/>
      <c r="Q2" s="89"/>
      <c r="R2" s="6"/>
      <c r="S2" s="6"/>
      <c r="T2" s="6"/>
      <c r="U2" s="89"/>
      <c r="V2" s="89"/>
      <c r="W2" s="89"/>
      <c r="X2" s="89"/>
      <c r="Y2" s="89"/>
      <c r="Z2" s="89"/>
      <c r="AA2" s="89"/>
      <c r="AB2" s="89"/>
      <c r="AC2" s="89"/>
    </row>
    <row r="3" spans="1:29" ht="7.5" customHeight="1">
      <c r="A3" s="74"/>
      <c r="B3" s="74"/>
      <c r="C3" s="74"/>
      <c r="D3" s="74"/>
      <c r="E3" s="74"/>
      <c r="F3" s="74"/>
      <c r="G3" s="74"/>
      <c r="H3" s="74"/>
      <c r="I3" s="74"/>
      <c r="J3" s="74"/>
      <c r="K3" s="74"/>
      <c r="L3" s="74"/>
      <c r="M3" s="74"/>
      <c r="N3" s="74"/>
      <c r="O3" s="74"/>
      <c r="P3" s="74"/>
      <c r="Q3" s="74"/>
      <c r="R3" s="1"/>
      <c r="S3" s="1"/>
      <c r="T3" s="1"/>
      <c r="U3" s="74"/>
      <c r="V3" s="74"/>
      <c r="W3" s="74"/>
      <c r="X3" s="74"/>
      <c r="Y3" s="74"/>
      <c r="Z3" s="74"/>
      <c r="AA3" s="74"/>
      <c r="AB3" s="74"/>
      <c r="AC3" s="74"/>
    </row>
    <row r="5" spans="1:29">
      <c r="B5" s="17" t="s">
        <v>30</v>
      </c>
      <c r="C5" s="17" t="s">
        <v>31</v>
      </c>
      <c r="D5" s="266" t="s">
        <v>37</v>
      </c>
      <c r="E5" s="267"/>
      <c r="F5" s="268"/>
      <c r="G5" s="17" t="s">
        <v>74</v>
      </c>
      <c r="H5" s="266" t="s">
        <v>85</v>
      </c>
      <c r="I5" s="267"/>
      <c r="J5" s="267"/>
      <c r="K5" s="267"/>
      <c r="L5" s="267"/>
      <c r="M5" s="267"/>
      <c r="N5" s="267"/>
      <c r="O5" s="267"/>
      <c r="P5" s="268"/>
      <c r="R5" t="s">
        <v>1859</v>
      </c>
    </row>
    <row r="6" spans="1:29">
      <c r="B6" s="30" t="s">
        <v>90</v>
      </c>
      <c r="C6" s="30" t="s">
        <v>512</v>
      </c>
      <c r="D6" s="237" t="s">
        <v>93</v>
      </c>
      <c r="E6" s="238"/>
      <c r="F6" s="239"/>
      <c r="G6" s="45" t="s">
        <v>75</v>
      </c>
      <c r="H6" s="240" t="s">
        <v>126</v>
      </c>
      <c r="I6" s="241"/>
      <c r="J6" s="241"/>
      <c r="K6" s="241"/>
      <c r="L6" s="241"/>
      <c r="M6" s="241"/>
      <c r="N6" s="241"/>
      <c r="O6" s="241"/>
      <c r="P6" s="242"/>
      <c r="R6" t="s">
        <v>1862</v>
      </c>
      <c r="V6" s="44" t="s">
        <v>109</v>
      </c>
    </row>
    <row r="7" spans="1:29">
      <c r="R7" t="s">
        <v>1863</v>
      </c>
    </row>
    <row r="8" spans="1:29">
      <c r="B8" s="17" t="s">
        <v>32</v>
      </c>
      <c r="C8" s="17" t="s">
        <v>33</v>
      </c>
      <c r="D8" s="17" t="s">
        <v>34</v>
      </c>
      <c r="E8" s="109" t="s">
        <v>10</v>
      </c>
      <c r="F8" s="110" t="s">
        <v>23</v>
      </c>
      <c r="G8" s="110" t="s">
        <v>24</v>
      </c>
      <c r="H8" s="110" t="s">
        <v>25</v>
      </c>
      <c r="I8" s="110" t="s">
        <v>26</v>
      </c>
      <c r="J8" s="110" t="s">
        <v>27</v>
      </c>
      <c r="K8" s="110" t="s">
        <v>28</v>
      </c>
      <c r="L8" s="110" t="s">
        <v>29</v>
      </c>
      <c r="M8" s="110" t="s">
        <v>11</v>
      </c>
      <c r="N8" s="17" t="s">
        <v>35</v>
      </c>
      <c r="O8" s="17" t="s">
        <v>36</v>
      </c>
      <c r="P8" s="17" t="s">
        <v>12</v>
      </c>
      <c r="R8" s="88" t="s">
        <v>1858</v>
      </c>
      <c r="S8" s="88" t="s">
        <v>1866</v>
      </c>
      <c r="T8" s="88" t="s">
        <v>155</v>
      </c>
      <c r="V8" s="17" t="s">
        <v>1058</v>
      </c>
      <c r="W8" s="17" t="s">
        <v>1057</v>
      </c>
      <c r="X8" s="17" t="s">
        <v>107</v>
      </c>
      <c r="Y8" s="17" t="s">
        <v>107</v>
      </c>
      <c r="Z8" s="17" t="s">
        <v>107</v>
      </c>
    </row>
    <row r="9" spans="1:29">
      <c r="B9" s="46" t="s">
        <v>421</v>
      </c>
      <c r="C9" s="46" t="s">
        <v>422</v>
      </c>
      <c r="D9" s="46" t="s">
        <v>64</v>
      </c>
      <c r="E9" s="47">
        <v>8</v>
      </c>
      <c r="F9" s="47"/>
      <c r="G9" s="46"/>
      <c r="H9" s="46" t="s">
        <v>513</v>
      </c>
      <c r="I9" s="47" t="s">
        <v>14</v>
      </c>
      <c r="J9" s="47"/>
      <c r="K9" s="47"/>
      <c r="L9" s="46"/>
      <c r="M9" s="46" t="s">
        <v>14</v>
      </c>
      <c r="N9" s="48" t="s">
        <v>564</v>
      </c>
      <c r="O9" s="49"/>
      <c r="P9" s="49"/>
      <c r="R9" s="162" t="s">
        <v>136</v>
      </c>
      <c r="S9" s="162" t="s">
        <v>136</v>
      </c>
      <c r="T9" s="159"/>
      <c r="V9" s="49"/>
      <c r="W9" s="49"/>
      <c r="X9" s="49"/>
      <c r="Y9" s="49"/>
      <c r="Z9" s="49"/>
    </row>
    <row r="10" spans="1:29">
      <c r="B10" s="46" t="s">
        <v>178</v>
      </c>
      <c r="C10" s="46" t="s">
        <v>42</v>
      </c>
      <c r="D10" s="46" t="s">
        <v>13</v>
      </c>
      <c r="E10" s="47">
        <v>8</v>
      </c>
      <c r="F10" s="47"/>
      <c r="G10" s="46"/>
      <c r="H10" s="46"/>
      <c r="I10" s="47"/>
      <c r="J10" s="47"/>
      <c r="K10" s="47"/>
      <c r="L10" s="46" t="s">
        <v>179</v>
      </c>
      <c r="M10" s="46"/>
      <c r="N10" s="49"/>
      <c r="O10" s="49"/>
      <c r="P10" s="49"/>
      <c r="R10" s="162" t="s">
        <v>136</v>
      </c>
      <c r="S10" s="162" t="s">
        <v>136</v>
      </c>
      <c r="T10" s="159"/>
      <c r="V10" s="49"/>
      <c r="W10" s="49"/>
      <c r="X10" s="49"/>
      <c r="Y10" s="49"/>
      <c r="Z10" s="49"/>
    </row>
    <row r="11" spans="1:29">
      <c r="B11" s="46" t="s">
        <v>570</v>
      </c>
      <c r="C11" s="46" t="s">
        <v>514</v>
      </c>
      <c r="D11" s="46" t="s">
        <v>17</v>
      </c>
      <c r="E11" s="47">
        <v>8</v>
      </c>
      <c r="F11" s="47"/>
      <c r="G11" s="46"/>
      <c r="H11" s="46"/>
      <c r="I11" s="47"/>
      <c r="J11" s="47"/>
      <c r="K11" s="47"/>
      <c r="L11" s="46" t="s">
        <v>242</v>
      </c>
      <c r="M11" s="46"/>
      <c r="N11" s="49"/>
      <c r="O11" s="49"/>
      <c r="P11" s="49"/>
      <c r="R11" s="162" t="s">
        <v>136</v>
      </c>
      <c r="S11" s="162" t="s">
        <v>136</v>
      </c>
      <c r="T11" s="159"/>
      <c r="V11" s="49"/>
      <c r="W11" s="49"/>
      <c r="X11" s="49"/>
      <c r="Y11" s="49"/>
      <c r="Z11" s="49"/>
    </row>
    <row r="12" spans="1:29" s="63" customFormat="1">
      <c r="B12" s="55" t="s">
        <v>571</v>
      </c>
      <c r="C12" s="55" t="s">
        <v>515</v>
      </c>
      <c r="D12" s="55" t="s">
        <v>17</v>
      </c>
      <c r="E12" s="56">
        <v>8</v>
      </c>
      <c r="F12" s="56"/>
      <c r="G12" s="55"/>
      <c r="H12" s="55"/>
      <c r="I12" s="56"/>
      <c r="J12" s="56"/>
      <c r="K12" s="56"/>
      <c r="L12" s="55" t="s">
        <v>242</v>
      </c>
      <c r="M12" s="55"/>
      <c r="N12" s="57"/>
      <c r="O12" s="57"/>
      <c r="P12" s="57" t="s">
        <v>616</v>
      </c>
      <c r="R12" s="168" t="s">
        <v>136</v>
      </c>
      <c r="S12" s="168" t="s">
        <v>136</v>
      </c>
      <c r="T12" s="169"/>
      <c r="V12" s="57"/>
      <c r="W12" s="57"/>
      <c r="X12" s="57"/>
      <c r="Y12" s="57"/>
      <c r="Z12" s="57"/>
    </row>
    <row r="13" spans="1:29" s="63" customFormat="1">
      <c r="B13" s="55" t="s">
        <v>516</v>
      </c>
      <c r="C13" s="55" t="s">
        <v>517</v>
      </c>
      <c r="D13" s="55" t="s">
        <v>64</v>
      </c>
      <c r="E13" s="56">
        <v>8</v>
      </c>
      <c r="F13" s="56"/>
      <c r="G13" s="55">
        <v>0</v>
      </c>
      <c r="H13" s="55"/>
      <c r="I13" s="56"/>
      <c r="J13" s="56"/>
      <c r="K13" s="56"/>
      <c r="L13" s="55" t="s">
        <v>231</v>
      </c>
      <c r="M13" s="55"/>
      <c r="N13" s="58"/>
      <c r="O13" s="57"/>
      <c r="P13" s="57" t="s">
        <v>616</v>
      </c>
      <c r="R13" s="168" t="s">
        <v>136</v>
      </c>
      <c r="S13" s="168" t="s">
        <v>136</v>
      </c>
      <c r="T13" s="169"/>
      <c r="V13" s="57"/>
      <c r="W13" s="57"/>
      <c r="X13" s="57"/>
      <c r="Y13" s="57"/>
      <c r="Z13" s="57"/>
    </row>
    <row r="14" spans="1:29" s="63" customFormat="1">
      <c r="B14" s="55" t="s">
        <v>518</v>
      </c>
      <c r="C14" s="55" t="s">
        <v>519</v>
      </c>
      <c r="D14" s="55" t="s">
        <v>64</v>
      </c>
      <c r="E14" s="56">
        <v>8</v>
      </c>
      <c r="F14" s="56"/>
      <c r="G14" s="55">
        <v>0</v>
      </c>
      <c r="H14" s="55"/>
      <c r="I14" s="56"/>
      <c r="J14" s="56"/>
      <c r="K14" s="56"/>
      <c r="L14" s="55" t="s">
        <v>231</v>
      </c>
      <c r="M14" s="55"/>
      <c r="N14" s="57"/>
      <c r="O14" s="57"/>
      <c r="P14" s="57" t="s">
        <v>616</v>
      </c>
      <c r="R14" s="168" t="s">
        <v>136</v>
      </c>
      <c r="S14" s="168" t="s">
        <v>136</v>
      </c>
      <c r="T14" s="169"/>
      <c r="V14" s="57"/>
      <c r="W14" s="57"/>
      <c r="X14" s="57"/>
      <c r="Y14" s="57"/>
      <c r="Z14" s="57"/>
    </row>
    <row r="15" spans="1:29" s="63" customFormat="1">
      <c r="B15" s="55" t="s">
        <v>520</v>
      </c>
      <c r="C15" s="55" t="s">
        <v>521</v>
      </c>
      <c r="D15" s="55" t="s">
        <v>64</v>
      </c>
      <c r="E15" s="56">
        <v>8</v>
      </c>
      <c r="F15" s="56"/>
      <c r="G15" s="55">
        <v>0</v>
      </c>
      <c r="H15" s="55"/>
      <c r="I15" s="56"/>
      <c r="J15" s="56"/>
      <c r="K15" s="56"/>
      <c r="L15" s="55" t="s">
        <v>231</v>
      </c>
      <c r="M15" s="55"/>
      <c r="N15" s="57"/>
      <c r="O15" s="57"/>
      <c r="P15" s="57" t="s">
        <v>616</v>
      </c>
      <c r="R15" s="168" t="s">
        <v>136</v>
      </c>
      <c r="S15" s="168" t="s">
        <v>136</v>
      </c>
      <c r="T15" s="169"/>
      <c r="V15" s="57"/>
      <c r="W15" s="57"/>
      <c r="X15" s="57"/>
      <c r="Y15" s="57"/>
      <c r="Z15" s="57"/>
    </row>
    <row r="16" spans="1:29" s="63" customFormat="1">
      <c r="B16" s="55" t="s">
        <v>522</v>
      </c>
      <c r="C16" s="55" t="s">
        <v>523</v>
      </c>
      <c r="D16" s="55" t="s">
        <v>64</v>
      </c>
      <c r="E16" s="56">
        <v>8</v>
      </c>
      <c r="F16" s="56"/>
      <c r="G16" s="55">
        <v>0</v>
      </c>
      <c r="H16" s="55"/>
      <c r="I16" s="56"/>
      <c r="J16" s="56"/>
      <c r="K16" s="56"/>
      <c r="L16" s="55" t="s">
        <v>231</v>
      </c>
      <c r="M16" s="55"/>
      <c r="N16" s="57"/>
      <c r="O16" s="57"/>
      <c r="P16" s="57" t="s">
        <v>616</v>
      </c>
      <c r="R16" s="168" t="s">
        <v>136</v>
      </c>
      <c r="S16" s="168" t="s">
        <v>136</v>
      </c>
      <c r="T16" s="169"/>
      <c r="V16" s="57"/>
      <c r="W16" s="57"/>
      <c r="X16" s="57"/>
      <c r="Y16" s="57"/>
      <c r="Z16" s="57"/>
    </row>
    <row r="17" spans="2:26" s="63" customFormat="1">
      <c r="B17" s="55" t="s">
        <v>524</v>
      </c>
      <c r="C17" s="55" t="s">
        <v>525</v>
      </c>
      <c r="D17" s="55" t="s">
        <v>193</v>
      </c>
      <c r="E17" s="56">
        <v>10</v>
      </c>
      <c r="F17" s="56"/>
      <c r="G17" s="55"/>
      <c r="H17" s="55"/>
      <c r="I17" s="56"/>
      <c r="J17" s="56"/>
      <c r="K17" s="56"/>
      <c r="L17" s="55" t="s">
        <v>526</v>
      </c>
      <c r="M17" s="55"/>
      <c r="N17" s="57"/>
      <c r="O17" s="58"/>
      <c r="P17" s="57" t="s">
        <v>616</v>
      </c>
      <c r="R17" s="168" t="s">
        <v>136</v>
      </c>
      <c r="S17" s="168" t="s">
        <v>136</v>
      </c>
      <c r="T17" s="169"/>
      <c r="V17" s="57"/>
      <c r="W17" s="57"/>
      <c r="X17" s="57"/>
      <c r="Y17" s="57"/>
      <c r="Z17" s="57"/>
    </row>
    <row r="18" spans="2:26" s="63" customFormat="1">
      <c r="B18" s="55" t="s">
        <v>527</v>
      </c>
      <c r="C18" s="55" t="s">
        <v>528</v>
      </c>
      <c r="D18" s="55" t="s">
        <v>13</v>
      </c>
      <c r="E18" s="56">
        <v>10</v>
      </c>
      <c r="F18" s="56"/>
      <c r="G18" s="55"/>
      <c r="H18" s="55"/>
      <c r="I18" s="56"/>
      <c r="J18" s="56"/>
      <c r="K18" s="56"/>
      <c r="L18" s="55" t="s">
        <v>529</v>
      </c>
      <c r="M18" s="55"/>
      <c r="N18" s="57" t="s">
        <v>565</v>
      </c>
      <c r="O18" s="57"/>
      <c r="P18" s="57" t="s">
        <v>616</v>
      </c>
      <c r="R18" s="168" t="s">
        <v>136</v>
      </c>
      <c r="S18" s="168" t="s">
        <v>136</v>
      </c>
      <c r="T18" s="169"/>
      <c r="V18" s="57"/>
      <c r="W18" s="57"/>
      <c r="X18" s="57"/>
      <c r="Y18" s="57"/>
      <c r="Z18" s="57"/>
    </row>
    <row r="19" spans="2:26">
      <c r="B19" s="46" t="s">
        <v>530</v>
      </c>
      <c r="C19" s="46" t="s">
        <v>531</v>
      </c>
      <c r="D19" s="46" t="s">
        <v>13</v>
      </c>
      <c r="E19" s="47">
        <v>50</v>
      </c>
      <c r="F19" s="47"/>
      <c r="G19" s="46"/>
      <c r="H19" s="46"/>
      <c r="I19" s="47"/>
      <c r="J19" s="47"/>
      <c r="K19" s="47"/>
      <c r="L19" s="46" t="s">
        <v>315</v>
      </c>
      <c r="M19" s="46"/>
      <c r="N19" s="49"/>
      <c r="O19" s="49"/>
      <c r="P19" s="49"/>
      <c r="R19" s="162" t="s">
        <v>136</v>
      </c>
      <c r="S19" s="162" t="s">
        <v>136</v>
      </c>
      <c r="T19" s="159"/>
      <c r="V19" s="49"/>
      <c r="W19" s="49"/>
      <c r="X19" s="49"/>
      <c r="Y19" s="49"/>
      <c r="Z19" s="49"/>
    </row>
    <row r="20" spans="2:26">
      <c r="B20" s="46" t="s">
        <v>532</v>
      </c>
      <c r="C20" s="46" t="s">
        <v>533</v>
      </c>
      <c r="D20" s="46" t="s">
        <v>193</v>
      </c>
      <c r="E20" s="47">
        <v>40</v>
      </c>
      <c r="F20" s="47"/>
      <c r="G20" s="46"/>
      <c r="H20" s="46"/>
      <c r="I20" s="47"/>
      <c r="J20" s="47"/>
      <c r="K20" s="47"/>
      <c r="L20" s="46" t="s">
        <v>211</v>
      </c>
      <c r="M20" s="46"/>
      <c r="N20" s="49"/>
      <c r="O20" s="49"/>
      <c r="P20" s="49"/>
      <c r="R20" s="162" t="s">
        <v>136</v>
      </c>
      <c r="S20" s="162" t="s">
        <v>136</v>
      </c>
      <c r="T20" s="159"/>
      <c r="V20" s="49"/>
      <c r="W20" s="49"/>
      <c r="X20" s="49"/>
      <c r="Y20" s="49"/>
      <c r="Z20" s="49"/>
    </row>
    <row r="21" spans="2:26">
      <c r="B21" s="46" t="s">
        <v>534</v>
      </c>
      <c r="C21" s="46" t="s">
        <v>535</v>
      </c>
      <c r="D21" s="46" t="s">
        <v>193</v>
      </c>
      <c r="E21" s="47">
        <v>40</v>
      </c>
      <c r="F21" s="47"/>
      <c r="G21" s="46"/>
      <c r="H21" s="46"/>
      <c r="I21" s="47"/>
      <c r="J21" s="47"/>
      <c r="K21" s="47"/>
      <c r="L21" s="46" t="s">
        <v>211</v>
      </c>
      <c r="M21" s="46"/>
      <c r="N21" s="49"/>
      <c r="O21" s="49"/>
      <c r="P21" s="49"/>
      <c r="R21" s="162" t="s">
        <v>136</v>
      </c>
      <c r="S21" s="162" t="s">
        <v>136</v>
      </c>
      <c r="T21" s="159"/>
      <c r="V21" s="49"/>
      <c r="W21" s="49"/>
      <c r="X21" s="49"/>
      <c r="Y21" s="49"/>
      <c r="Z21" s="49"/>
    </row>
    <row r="22" spans="2:26">
      <c r="B22" s="46" t="s">
        <v>536</v>
      </c>
      <c r="C22" s="46" t="s">
        <v>537</v>
      </c>
      <c r="D22" s="46" t="s">
        <v>193</v>
      </c>
      <c r="E22" s="47">
        <v>40</v>
      </c>
      <c r="F22" s="47"/>
      <c r="G22" s="46"/>
      <c r="H22" s="46"/>
      <c r="I22" s="47"/>
      <c r="J22" s="47"/>
      <c r="K22" s="47"/>
      <c r="L22" s="46" t="s">
        <v>211</v>
      </c>
      <c r="M22" s="46"/>
      <c r="N22" s="49"/>
      <c r="O22" s="49"/>
      <c r="P22" s="49"/>
      <c r="R22" s="162" t="s">
        <v>136</v>
      </c>
      <c r="S22" s="162" t="s">
        <v>136</v>
      </c>
      <c r="T22" s="159"/>
      <c r="V22" s="49"/>
      <c r="W22" s="49"/>
      <c r="X22" s="49"/>
      <c r="Y22" s="49"/>
      <c r="Z22" s="49"/>
    </row>
    <row r="23" spans="2:26">
      <c r="B23" s="46" t="s">
        <v>538</v>
      </c>
      <c r="C23" s="46" t="s">
        <v>539</v>
      </c>
      <c r="D23" s="46" t="s">
        <v>13</v>
      </c>
      <c r="E23" s="47">
        <v>20</v>
      </c>
      <c r="F23" s="47"/>
      <c r="G23" s="46"/>
      <c r="H23" s="46"/>
      <c r="I23" s="47"/>
      <c r="J23" s="47"/>
      <c r="K23" s="47"/>
      <c r="L23" s="46" t="s">
        <v>289</v>
      </c>
      <c r="M23" s="46"/>
      <c r="N23" s="49"/>
      <c r="O23" s="49"/>
      <c r="P23" s="49"/>
      <c r="R23" s="162" t="s">
        <v>136</v>
      </c>
      <c r="S23" s="162" t="s">
        <v>136</v>
      </c>
      <c r="T23" s="159"/>
      <c r="V23" s="49"/>
      <c r="W23" s="49"/>
      <c r="X23" s="49"/>
      <c r="Y23" s="49"/>
      <c r="Z23" s="49"/>
    </row>
    <row r="24" spans="2:26" ht="37.799999999999997">
      <c r="B24" s="46" t="s">
        <v>540</v>
      </c>
      <c r="C24" s="46" t="s">
        <v>541</v>
      </c>
      <c r="D24" s="46" t="s">
        <v>13</v>
      </c>
      <c r="E24" s="47">
        <v>10</v>
      </c>
      <c r="F24" s="47"/>
      <c r="G24" s="46"/>
      <c r="H24" s="46"/>
      <c r="I24" s="47"/>
      <c r="J24" s="47"/>
      <c r="K24" s="47"/>
      <c r="L24" s="46" t="s">
        <v>542</v>
      </c>
      <c r="M24" s="46"/>
      <c r="N24" s="49"/>
      <c r="O24" s="48" t="s">
        <v>1360</v>
      </c>
      <c r="P24" s="49"/>
      <c r="R24" s="162" t="s">
        <v>136</v>
      </c>
      <c r="S24" s="162" t="s">
        <v>136</v>
      </c>
      <c r="T24" s="159"/>
      <c r="V24" s="49"/>
      <c r="W24" s="49"/>
      <c r="X24" s="49"/>
      <c r="Y24" s="49"/>
      <c r="Z24" s="49"/>
    </row>
    <row r="25" spans="2:26">
      <c r="B25" s="46" t="s">
        <v>543</v>
      </c>
      <c r="C25" s="46" t="s">
        <v>544</v>
      </c>
      <c r="D25" s="46" t="s">
        <v>13</v>
      </c>
      <c r="E25" s="47">
        <v>50</v>
      </c>
      <c r="F25" s="47"/>
      <c r="G25" s="46"/>
      <c r="H25" s="46"/>
      <c r="I25" s="47"/>
      <c r="J25" s="47"/>
      <c r="K25" s="47"/>
      <c r="L25" s="46" t="s">
        <v>315</v>
      </c>
      <c r="M25" s="46"/>
      <c r="N25" s="49" t="s">
        <v>566</v>
      </c>
      <c r="O25" s="49"/>
      <c r="P25" s="49"/>
      <c r="R25" s="162" t="s">
        <v>136</v>
      </c>
      <c r="S25" s="162" t="s">
        <v>136</v>
      </c>
      <c r="T25" s="159"/>
      <c r="V25" s="49"/>
      <c r="W25" s="49"/>
      <c r="X25" s="49"/>
      <c r="Y25" s="49"/>
      <c r="Z25" s="49"/>
    </row>
    <row r="26" spans="2:26">
      <c r="B26" s="46" t="s">
        <v>545</v>
      </c>
      <c r="C26" s="46" t="s">
        <v>546</v>
      </c>
      <c r="D26" s="46" t="s">
        <v>13</v>
      </c>
      <c r="E26" s="47" t="s">
        <v>48</v>
      </c>
      <c r="F26" s="47"/>
      <c r="G26" s="46"/>
      <c r="H26" s="46"/>
      <c r="I26" s="47"/>
      <c r="J26" s="47"/>
      <c r="K26" s="47"/>
      <c r="L26" s="46" t="s">
        <v>204</v>
      </c>
      <c r="M26" s="46"/>
      <c r="N26" s="49" t="s">
        <v>567</v>
      </c>
      <c r="O26" s="49"/>
      <c r="P26" s="49"/>
      <c r="R26" s="162" t="s">
        <v>136</v>
      </c>
      <c r="S26" s="162" t="s">
        <v>136</v>
      </c>
      <c r="T26" s="159"/>
      <c r="V26" s="49"/>
      <c r="W26" s="49"/>
      <c r="X26" s="49"/>
      <c r="Y26" s="49"/>
      <c r="Z26" s="49"/>
    </row>
    <row r="27" spans="2:26" ht="25.2">
      <c r="B27" s="46" t="s">
        <v>547</v>
      </c>
      <c r="C27" s="46" t="s">
        <v>548</v>
      </c>
      <c r="D27" s="46" t="s">
        <v>193</v>
      </c>
      <c r="E27" s="47">
        <v>1000</v>
      </c>
      <c r="F27" s="47"/>
      <c r="G27" s="46"/>
      <c r="H27" s="46"/>
      <c r="I27" s="47"/>
      <c r="J27" s="47"/>
      <c r="K27" s="47"/>
      <c r="L27" s="46" t="s">
        <v>549</v>
      </c>
      <c r="M27" s="46"/>
      <c r="N27" s="48" t="s">
        <v>569</v>
      </c>
      <c r="O27" s="49"/>
      <c r="P27" s="49"/>
      <c r="R27" s="162" t="s">
        <v>136</v>
      </c>
      <c r="S27" s="162" t="s">
        <v>136</v>
      </c>
      <c r="T27" s="159"/>
      <c r="V27" s="49"/>
      <c r="W27" s="49"/>
      <c r="X27" s="49"/>
      <c r="Y27" s="49"/>
      <c r="Z27" s="49"/>
    </row>
    <row r="28" spans="2:26">
      <c r="B28" s="46" t="s">
        <v>550</v>
      </c>
      <c r="C28" s="46" t="s">
        <v>551</v>
      </c>
      <c r="D28" s="46" t="s">
        <v>193</v>
      </c>
      <c r="E28" s="47">
        <v>100</v>
      </c>
      <c r="F28" s="47"/>
      <c r="G28" s="46"/>
      <c r="H28" s="46"/>
      <c r="I28" s="47"/>
      <c r="J28" s="47"/>
      <c r="K28" s="47"/>
      <c r="L28" s="46" t="s">
        <v>254</v>
      </c>
      <c r="M28" s="46"/>
      <c r="N28" s="49"/>
      <c r="O28" s="49"/>
      <c r="P28" s="49"/>
      <c r="R28" s="162" t="s">
        <v>136</v>
      </c>
      <c r="S28" s="162" t="s">
        <v>136</v>
      </c>
      <c r="T28" s="159"/>
      <c r="V28" s="49"/>
      <c r="W28" s="49"/>
      <c r="X28" s="49"/>
      <c r="Y28" s="49"/>
      <c r="Z28" s="49"/>
    </row>
    <row r="29" spans="2:26">
      <c r="B29" s="46" t="s">
        <v>552</v>
      </c>
      <c r="C29" s="46" t="s">
        <v>553</v>
      </c>
      <c r="D29" s="46" t="s">
        <v>193</v>
      </c>
      <c r="E29" s="47">
        <v>100</v>
      </c>
      <c r="F29" s="47"/>
      <c r="G29" s="46"/>
      <c r="H29" s="46"/>
      <c r="I29" s="47"/>
      <c r="J29" s="47"/>
      <c r="K29" s="47"/>
      <c r="L29" s="46" t="s">
        <v>254</v>
      </c>
      <c r="M29" s="46"/>
      <c r="N29" s="49"/>
      <c r="O29" s="48"/>
      <c r="P29" s="49"/>
      <c r="R29" s="162" t="s">
        <v>136</v>
      </c>
      <c r="S29" s="162" t="s">
        <v>136</v>
      </c>
      <c r="T29" s="159"/>
      <c r="V29" s="49"/>
      <c r="W29" s="49"/>
      <c r="X29" s="49"/>
      <c r="Y29" s="49"/>
      <c r="Z29" s="49"/>
    </row>
    <row r="30" spans="2:26">
      <c r="B30" s="46" t="s">
        <v>554</v>
      </c>
      <c r="C30" s="46" t="s">
        <v>555</v>
      </c>
      <c r="D30" s="46" t="s">
        <v>193</v>
      </c>
      <c r="E30" s="47">
        <v>100</v>
      </c>
      <c r="F30" s="47"/>
      <c r="G30" s="46"/>
      <c r="H30" s="46"/>
      <c r="I30" s="47"/>
      <c r="J30" s="47"/>
      <c r="K30" s="47"/>
      <c r="L30" s="46" t="s">
        <v>254</v>
      </c>
      <c r="M30" s="46"/>
      <c r="N30" s="48"/>
      <c r="O30" s="49"/>
      <c r="P30" s="49"/>
      <c r="R30" s="162" t="s">
        <v>136</v>
      </c>
      <c r="S30" s="162" t="s">
        <v>136</v>
      </c>
      <c r="T30" s="159"/>
      <c r="V30" s="49"/>
      <c r="W30" s="49"/>
      <c r="X30" s="49"/>
      <c r="Y30" s="49"/>
      <c r="Z30" s="49"/>
    </row>
    <row r="31" spans="2:26">
      <c r="B31" s="46" t="s">
        <v>556</v>
      </c>
      <c r="C31" s="46" t="s">
        <v>557</v>
      </c>
      <c r="D31" s="46" t="s">
        <v>193</v>
      </c>
      <c r="E31" s="47">
        <v>100</v>
      </c>
      <c r="F31" s="47"/>
      <c r="G31" s="46"/>
      <c r="H31" s="46"/>
      <c r="I31" s="47"/>
      <c r="J31" s="47"/>
      <c r="K31" s="47"/>
      <c r="L31" s="46" t="s">
        <v>254</v>
      </c>
      <c r="M31" s="46"/>
      <c r="N31" s="48"/>
      <c r="O31" s="49"/>
      <c r="P31" s="49"/>
      <c r="R31" s="162" t="s">
        <v>136</v>
      </c>
      <c r="S31" s="162" t="s">
        <v>136</v>
      </c>
      <c r="T31" s="159"/>
      <c r="V31" s="49"/>
      <c r="W31" s="49"/>
      <c r="X31" s="49"/>
      <c r="Y31" s="49"/>
      <c r="Z31" s="49"/>
    </row>
    <row r="32" spans="2:26">
      <c r="B32" s="46" t="s">
        <v>558</v>
      </c>
      <c r="C32" s="46" t="s">
        <v>559</v>
      </c>
      <c r="D32" s="46" t="s">
        <v>193</v>
      </c>
      <c r="E32" s="47">
        <v>100</v>
      </c>
      <c r="F32" s="47"/>
      <c r="G32" s="46"/>
      <c r="H32" s="46"/>
      <c r="I32" s="47"/>
      <c r="J32" s="47"/>
      <c r="K32" s="47"/>
      <c r="L32" s="46" t="s">
        <v>254</v>
      </c>
      <c r="M32" s="46"/>
      <c r="N32" s="48"/>
      <c r="O32" s="49"/>
      <c r="P32" s="49"/>
      <c r="R32" s="162" t="s">
        <v>136</v>
      </c>
      <c r="S32" s="162" t="s">
        <v>136</v>
      </c>
      <c r="T32" s="159"/>
      <c r="V32" s="49"/>
      <c r="W32" s="49"/>
      <c r="X32" s="49"/>
      <c r="Y32" s="49"/>
      <c r="Z32" s="49"/>
    </row>
    <row r="33" spans="2:26">
      <c r="B33" s="46" t="s">
        <v>560</v>
      </c>
      <c r="C33" s="46" t="s">
        <v>561</v>
      </c>
      <c r="D33" s="46" t="s">
        <v>13</v>
      </c>
      <c r="E33" s="47">
        <v>20</v>
      </c>
      <c r="F33" s="47"/>
      <c r="G33" s="46"/>
      <c r="H33" s="46"/>
      <c r="I33" s="47"/>
      <c r="J33" s="47"/>
      <c r="K33" s="47"/>
      <c r="L33" s="46" t="s">
        <v>289</v>
      </c>
      <c r="M33" s="46"/>
      <c r="N33" s="48"/>
      <c r="O33" s="49"/>
      <c r="P33" s="49"/>
      <c r="R33" s="162" t="s">
        <v>136</v>
      </c>
      <c r="S33" s="162" t="s">
        <v>136</v>
      </c>
      <c r="T33" s="159"/>
      <c r="V33" s="49"/>
      <c r="W33" s="49"/>
      <c r="X33" s="49"/>
      <c r="Y33" s="49"/>
      <c r="Z33" s="49"/>
    </row>
    <row r="34" spans="2:26">
      <c r="B34" s="46" t="s">
        <v>562</v>
      </c>
      <c r="C34" s="46" t="s">
        <v>563</v>
      </c>
      <c r="D34" s="46" t="s">
        <v>193</v>
      </c>
      <c r="E34" s="47">
        <v>100</v>
      </c>
      <c r="F34" s="47"/>
      <c r="G34" s="46"/>
      <c r="H34" s="46"/>
      <c r="I34" s="47"/>
      <c r="J34" s="47"/>
      <c r="K34" s="47"/>
      <c r="L34" s="46" t="s">
        <v>254</v>
      </c>
      <c r="M34" s="46"/>
      <c r="N34" s="48"/>
      <c r="O34" s="49"/>
      <c r="P34" s="49"/>
      <c r="R34" s="162" t="s">
        <v>136</v>
      </c>
      <c r="S34" s="162" t="s">
        <v>136</v>
      </c>
      <c r="T34" s="159"/>
      <c r="V34" s="49"/>
      <c r="W34" s="49"/>
      <c r="X34" s="49"/>
      <c r="Y34" s="49"/>
      <c r="Z34" s="49"/>
    </row>
    <row r="35" spans="2:26">
      <c r="B35" s="46" t="s">
        <v>252</v>
      </c>
      <c r="C35" s="46" t="s">
        <v>253</v>
      </c>
      <c r="D35" s="46" t="s">
        <v>193</v>
      </c>
      <c r="E35" s="47">
        <v>100</v>
      </c>
      <c r="F35" s="47"/>
      <c r="G35" s="54"/>
      <c r="H35" s="46"/>
      <c r="I35" s="47"/>
      <c r="J35" s="47"/>
      <c r="K35" s="47"/>
      <c r="L35" s="46" t="s">
        <v>254</v>
      </c>
      <c r="M35" s="46" t="s">
        <v>14</v>
      </c>
      <c r="N35" s="49"/>
      <c r="O35" s="49"/>
      <c r="P35" s="49"/>
      <c r="R35" s="162" t="s">
        <v>136</v>
      </c>
      <c r="S35" s="162" t="s">
        <v>136</v>
      </c>
      <c r="T35" s="159"/>
      <c r="V35" s="49"/>
      <c r="W35" s="49"/>
      <c r="X35" s="49"/>
      <c r="Y35" s="49"/>
      <c r="Z35" s="49"/>
    </row>
    <row r="36" spans="2:26">
      <c r="B36" s="46" t="s">
        <v>255</v>
      </c>
      <c r="C36" s="46" t="s">
        <v>256</v>
      </c>
      <c r="D36" s="46" t="s">
        <v>193</v>
      </c>
      <c r="E36" s="47">
        <v>100</v>
      </c>
      <c r="F36" s="47"/>
      <c r="G36" s="54"/>
      <c r="H36" s="46"/>
      <c r="I36" s="47"/>
      <c r="J36" s="47"/>
      <c r="K36" s="47"/>
      <c r="L36" s="46" t="s">
        <v>254</v>
      </c>
      <c r="M36" s="46" t="s">
        <v>14</v>
      </c>
      <c r="N36" s="49"/>
      <c r="O36" s="49"/>
      <c r="P36" s="49"/>
      <c r="R36" s="162" t="s">
        <v>136</v>
      </c>
      <c r="S36" s="162" t="s">
        <v>136</v>
      </c>
      <c r="T36" s="159"/>
      <c r="V36" s="49"/>
      <c r="W36" s="49"/>
      <c r="X36" s="49"/>
      <c r="Y36" s="49"/>
      <c r="Z36" s="49"/>
    </row>
    <row r="37" spans="2:26">
      <c r="B37" s="46" t="s">
        <v>257</v>
      </c>
      <c r="C37" s="46" t="s">
        <v>258</v>
      </c>
      <c r="D37" s="46" t="s">
        <v>193</v>
      </c>
      <c r="E37" s="47">
        <v>100</v>
      </c>
      <c r="F37" s="47"/>
      <c r="G37" s="46"/>
      <c r="H37" s="46"/>
      <c r="I37" s="47"/>
      <c r="J37" s="47"/>
      <c r="K37" s="47"/>
      <c r="L37" s="46" t="s">
        <v>254</v>
      </c>
      <c r="M37" s="46" t="s">
        <v>14</v>
      </c>
      <c r="N37" s="49"/>
      <c r="O37" s="49"/>
      <c r="P37" s="49"/>
      <c r="R37" s="162" t="s">
        <v>136</v>
      </c>
      <c r="S37" s="162" t="s">
        <v>136</v>
      </c>
      <c r="T37" s="159"/>
      <c r="V37" s="49"/>
      <c r="W37" s="49"/>
      <c r="X37" s="49"/>
      <c r="Y37" s="49"/>
      <c r="Z37" s="49"/>
    </row>
    <row r="38" spans="2:26" ht="75.599999999999994">
      <c r="B38" s="64" t="s">
        <v>65</v>
      </c>
      <c r="C38" s="64" t="s">
        <v>67</v>
      </c>
      <c r="D38" s="64" t="s">
        <v>47</v>
      </c>
      <c r="E38" s="65">
        <v>512</v>
      </c>
      <c r="F38" s="47"/>
      <c r="G38" s="46"/>
      <c r="H38" s="46"/>
      <c r="I38" s="47"/>
      <c r="J38" s="47"/>
      <c r="K38" s="47"/>
      <c r="L38" s="46" t="s">
        <v>611</v>
      </c>
      <c r="M38" s="46"/>
      <c r="N38" s="66" t="s">
        <v>1055</v>
      </c>
      <c r="O38" s="49"/>
      <c r="P38" s="49" t="s">
        <v>1056</v>
      </c>
      <c r="R38" s="162" t="s">
        <v>136</v>
      </c>
      <c r="S38" s="162" t="s">
        <v>136</v>
      </c>
      <c r="T38" s="159"/>
      <c r="V38" s="66" t="s">
        <v>1054</v>
      </c>
      <c r="W38" s="66" t="s">
        <v>1053</v>
      </c>
      <c r="X38" s="49"/>
      <c r="Y38" s="49"/>
      <c r="Z38" s="49"/>
    </row>
    <row r="39" spans="2:26">
      <c r="B39" s="64" t="s">
        <v>573</v>
      </c>
      <c r="C39" s="64" t="s">
        <v>575</v>
      </c>
      <c r="D39" s="64" t="s">
        <v>47</v>
      </c>
      <c r="E39" s="65">
        <v>100</v>
      </c>
      <c r="F39" s="47"/>
      <c r="G39" s="46"/>
      <c r="H39" s="46"/>
      <c r="I39" s="47"/>
      <c r="J39" s="47"/>
      <c r="K39" s="47"/>
      <c r="L39" s="46" t="s">
        <v>76</v>
      </c>
      <c r="M39" s="46"/>
      <c r="N39" s="64" t="s">
        <v>613</v>
      </c>
      <c r="O39" s="49"/>
      <c r="P39" s="49" t="s">
        <v>642</v>
      </c>
      <c r="R39" s="162" t="s">
        <v>136</v>
      </c>
      <c r="S39" s="162" t="s">
        <v>136</v>
      </c>
      <c r="T39" s="159"/>
      <c r="V39" s="67" t="s">
        <v>613</v>
      </c>
      <c r="W39" s="67" t="s">
        <v>574</v>
      </c>
      <c r="X39" s="49"/>
      <c r="Y39" s="49"/>
      <c r="Z39" s="49"/>
    </row>
    <row r="40" spans="2:26">
      <c r="B40" s="64" t="s">
        <v>573</v>
      </c>
      <c r="C40" s="64" t="s">
        <v>576</v>
      </c>
      <c r="D40" s="64" t="s">
        <v>47</v>
      </c>
      <c r="E40" s="65">
        <v>100</v>
      </c>
      <c r="F40" s="47"/>
      <c r="G40" s="46"/>
      <c r="H40" s="46"/>
      <c r="I40" s="47"/>
      <c r="J40" s="47"/>
      <c r="K40" s="47"/>
      <c r="L40" s="46" t="s">
        <v>76</v>
      </c>
      <c r="M40" s="46"/>
      <c r="N40" s="64" t="s">
        <v>614</v>
      </c>
      <c r="O40" s="49"/>
      <c r="P40" s="49" t="s">
        <v>642</v>
      </c>
      <c r="R40" s="162" t="s">
        <v>136</v>
      </c>
      <c r="S40" s="162" t="s">
        <v>136</v>
      </c>
      <c r="T40" s="159"/>
      <c r="V40" s="67" t="s">
        <v>614</v>
      </c>
      <c r="W40" s="67" t="s">
        <v>574</v>
      </c>
      <c r="X40" s="49"/>
      <c r="Y40" s="49"/>
      <c r="Z40" s="49"/>
    </row>
    <row r="41" spans="2:26">
      <c r="B41" s="64" t="s">
        <v>573</v>
      </c>
      <c r="C41" s="64" t="s">
        <v>577</v>
      </c>
      <c r="D41" s="64" t="s">
        <v>47</v>
      </c>
      <c r="E41" s="65">
        <v>100</v>
      </c>
      <c r="F41" s="47"/>
      <c r="G41" s="46"/>
      <c r="H41" s="46"/>
      <c r="I41" s="47"/>
      <c r="J41" s="47"/>
      <c r="K41" s="47"/>
      <c r="L41" s="46" t="s">
        <v>76</v>
      </c>
      <c r="M41" s="46"/>
      <c r="N41" s="64" t="s">
        <v>615</v>
      </c>
      <c r="O41" s="49"/>
      <c r="P41" s="49" t="s">
        <v>642</v>
      </c>
      <c r="R41" s="162" t="s">
        <v>136</v>
      </c>
      <c r="S41" s="162" t="s">
        <v>136</v>
      </c>
      <c r="T41" s="159"/>
      <c r="V41" s="67" t="s">
        <v>615</v>
      </c>
      <c r="W41" s="67" t="s">
        <v>574</v>
      </c>
      <c r="X41" s="49"/>
      <c r="Y41" s="49"/>
      <c r="Z41" s="49"/>
    </row>
    <row r="42" spans="2:26">
      <c r="B42" s="64" t="s">
        <v>573</v>
      </c>
      <c r="C42" s="64" t="s">
        <v>578</v>
      </c>
      <c r="D42" s="64" t="s">
        <v>47</v>
      </c>
      <c r="E42" s="65">
        <v>100</v>
      </c>
      <c r="F42" s="47"/>
      <c r="G42" s="46"/>
      <c r="H42" s="46"/>
      <c r="I42" s="47"/>
      <c r="J42" s="47"/>
      <c r="K42" s="47"/>
      <c r="L42" s="46" t="s">
        <v>76</v>
      </c>
      <c r="M42" s="46"/>
      <c r="N42" s="64" t="s">
        <v>595</v>
      </c>
      <c r="O42" s="49"/>
      <c r="P42" s="49" t="s">
        <v>642</v>
      </c>
      <c r="R42" s="162" t="s">
        <v>136</v>
      </c>
      <c r="S42" s="162" t="s">
        <v>136</v>
      </c>
      <c r="T42" s="159"/>
      <c r="V42" s="67" t="s">
        <v>595</v>
      </c>
      <c r="W42" s="67" t="s">
        <v>574</v>
      </c>
      <c r="X42" s="49"/>
      <c r="Y42" s="49"/>
      <c r="Z42" s="49"/>
    </row>
    <row r="43" spans="2:26">
      <c r="B43" s="64" t="s">
        <v>573</v>
      </c>
      <c r="C43" s="64" t="s">
        <v>579</v>
      </c>
      <c r="D43" s="64" t="s">
        <v>47</v>
      </c>
      <c r="E43" s="65">
        <v>100</v>
      </c>
      <c r="F43" s="47"/>
      <c r="G43" s="46"/>
      <c r="H43" s="46"/>
      <c r="I43" s="47"/>
      <c r="J43" s="47"/>
      <c r="K43" s="47"/>
      <c r="L43" s="46" t="s">
        <v>76</v>
      </c>
      <c r="M43" s="46"/>
      <c r="N43" s="64" t="s">
        <v>597</v>
      </c>
      <c r="O43" s="49"/>
      <c r="P43" s="49" t="s">
        <v>642</v>
      </c>
      <c r="R43" s="162" t="s">
        <v>136</v>
      </c>
      <c r="S43" s="162" t="s">
        <v>136</v>
      </c>
      <c r="T43" s="159"/>
      <c r="V43" s="67" t="s">
        <v>596</v>
      </c>
      <c r="W43" s="67" t="s">
        <v>574</v>
      </c>
      <c r="X43" s="49"/>
      <c r="Y43" s="49"/>
      <c r="Z43" s="49"/>
    </row>
    <row r="44" spans="2:26">
      <c r="B44" s="64" t="s">
        <v>573</v>
      </c>
      <c r="C44" s="64" t="s">
        <v>580</v>
      </c>
      <c r="D44" s="64" t="s">
        <v>47</v>
      </c>
      <c r="E44" s="65">
        <v>100</v>
      </c>
      <c r="F44" s="47"/>
      <c r="G44" s="46"/>
      <c r="H44" s="46"/>
      <c r="I44" s="47"/>
      <c r="J44" s="47"/>
      <c r="K44" s="47"/>
      <c r="L44" s="46" t="s">
        <v>76</v>
      </c>
      <c r="M44" s="46"/>
      <c r="N44" s="64" t="s">
        <v>599</v>
      </c>
      <c r="O44" s="49"/>
      <c r="P44" s="49" t="s">
        <v>642</v>
      </c>
      <c r="R44" s="162" t="s">
        <v>136</v>
      </c>
      <c r="S44" s="162" t="s">
        <v>136</v>
      </c>
      <c r="T44" s="159"/>
      <c r="V44" s="67" t="s">
        <v>598</v>
      </c>
      <c r="W44" s="67" t="s">
        <v>574</v>
      </c>
      <c r="X44" s="49"/>
      <c r="Y44" s="49"/>
      <c r="Z44" s="49"/>
    </row>
    <row r="45" spans="2:26">
      <c r="B45" s="64" t="s">
        <v>573</v>
      </c>
      <c r="C45" s="64" t="s">
        <v>581</v>
      </c>
      <c r="D45" s="64" t="s">
        <v>47</v>
      </c>
      <c r="E45" s="65">
        <v>100</v>
      </c>
      <c r="F45" s="47"/>
      <c r="G45" s="46"/>
      <c r="H45" s="46"/>
      <c r="I45" s="47"/>
      <c r="J45" s="47"/>
      <c r="K45" s="47"/>
      <c r="L45" s="46" t="s">
        <v>76</v>
      </c>
      <c r="M45" s="46"/>
      <c r="N45" s="64" t="s">
        <v>601</v>
      </c>
      <c r="O45" s="49"/>
      <c r="P45" s="49" t="s">
        <v>642</v>
      </c>
      <c r="R45" s="162" t="s">
        <v>136</v>
      </c>
      <c r="S45" s="162" t="s">
        <v>136</v>
      </c>
      <c r="T45" s="159"/>
      <c r="V45" s="67" t="s">
        <v>600</v>
      </c>
      <c r="W45" s="67" t="s">
        <v>574</v>
      </c>
      <c r="X45" s="49"/>
      <c r="Y45" s="49"/>
      <c r="Z45" s="49"/>
    </row>
    <row r="46" spans="2:26">
      <c r="B46" s="64" t="s">
        <v>573</v>
      </c>
      <c r="C46" s="64" t="s">
        <v>582</v>
      </c>
      <c r="D46" s="64" t="s">
        <v>47</v>
      </c>
      <c r="E46" s="65">
        <v>100</v>
      </c>
      <c r="F46" s="47"/>
      <c r="G46" s="46"/>
      <c r="H46" s="46"/>
      <c r="I46" s="47"/>
      <c r="J46" s="47"/>
      <c r="K46" s="47"/>
      <c r="L46" s="46" t="s">
        <v>76</v>
      </c>
      <c r="M46" s="46"/>
      <c r="N46" s="64" t="s">
        <v>603</v>
      </c>
      <c r="O46" s="49"/>
      <c r="P46" s="49" t="s">
        <v>642</v>
      </c>
      <c r="R46" s="162" t="s">
        <v>136</v>
      </c>
      <c r="S46" s="162" t="s">
        <v>136</v>
      </c>
      <c r="T46" s="159"/>
      <c r="V46" s="67" t="s">
        <v>602</v>
      </c>
      <c r="W46" s="67" t="s">
        <v>574</v>
      </c>
      <c r="X46" s="49"/>
      <c r="Y46" s="49"/>
      <c r="Z46" s="49"/>
    </row>
    <row r="47" spans="2:26">
      <c r="B47" s="64" t="s">
        <v>573</v>
      </c>
      <c r="C47" s="64" t="s">
        <v>583</v>
      </c>
      <c r="D47" s="64" t="s">
        <v>47</v>
      </c>
      <c r="E47" s="65">
        <v>100</v>
      </c>
      <c r="F47" s="47"/>
      <c r="G47" s="46"/>
      <c r="H47" s="46"/>
      <c r="I47" s="47"/>
      <c r="J47" s="47"/>
      <c r="K47" s="47"/>
      <c r="L47" s="46" t="s">
        <v>76</v>
      </c>
      <c r="M47" s="46"/>
      <c r="N47" s="64" t="s">
        <v>605</v>
      </c>
      <c r="O47" s="49"/>
      <c r="P47" s="49" t="s">
        <v>642</v>
      </c>
      <c r="R47" s="162" t="s">
        <v>136</v>
      </c>
      <c r="S47" s="162" t="s">
        <v>136</v>
      </c>
      <c r="T47" s="159"/>
      <c r="V47" s="67" t="s">
        <v>604</v>
      </c>
      <c r="W47" s="67" t="s">
        <v>574</v>
      </c>
      <c r="X47" s="49"/>
      <c r="Y47" s="49"/>
      <c r="Z47" s="49"/>
    </row>
    <row r="48" spans="2:26">
      <c r="B48" s="64" t="s">
        <v>573</v>
      </c>
      <c r="C48" s="64" t="s">
        <v>584</v>
      </c>
      <c r="D48" s="64" t="s">
        <v>47</v>
      </c>
      <c r="E48" s="65">
        <v>100</v>
      </c>
      <c r="F48" s="47"/>
      <c r="G48" s="46"/>
      <c r="H48" s="46"/>
      <c r="I48" s="47"/>
      <c r="J48" s="47"/>
      <c r="K48" s="47"/>
      <c r="L48" s="46" t="s">
        <v>76</v>
      </c>
      <c r="M48" s="46"/>
      <c r="N48" s="64" t="s">
        <v>607</v>
      </c>
      <c r="O48" s="49"/>
      <c r="P48" s="49" t="s">
        <v>642</v>
      </c>
      <c r="R48" s="162" t="s">
        <v>136</v>
      </c>
      <c r="S48" s="162" t="s">
        <v>136</v>
      </c>
      <c r="T48" s="159"/>
      <c r="V48" s="67" t="s">
        <v>606</v>
      </c>
      <c r="W48" s="67" t="s">
        <v>574</v>
      </c>
      <c r="X48" s="49"/>
      <c r="Y48" s="49"/>
      <c r="Z48" s="49"/>
    </row>
    <row r="49" spans="2:26">
      <c r="B49" s="64" t="s">
        <v>573</v>
      </c>
      <c r="C49" s="64" t="s">
        <v>585</v>
      </c>
      <c r="D49" s="64" t="s">
        <v>47</v>
      </c>
      <c r="E49" s="65">
        <v>100</v>
      </c>
      <c r="F49" s="47"/>
      <c r="G49" s="46"/>
      <c r="H49" s="46"/>
      <c r="I49" s="47"/>
      <c r="J49" s="47"/>
      <c r="K49" s="47"/>
      <c r="L49" s="46" t="s">
        <v>76</v>
      </c>
      <c r="M49" s="46"/>
      <c r="N49" s="64" t="s">
        <v>609</v>
      </c>
      <c r="O49" s="49"/>
      <c r="P49" s="49" t="s">
        <v>642</v>
      </c>
      <c r="R49" s="162" t="s">
        <v>136</v>
      </c>
      <c r="S49" s="162" t="s">
        <v>136</v>
      </c>
      <c r="T49" s="159"/>
      <c r="V49" s="67" t="s">
        <v>608</v>
      </c>
      <c r="W49" s="67" t="s">
        <v>574</v>
      </c>
      <c r="X49" s="49"/>
      <c r="Y49" s="49"/>
      <c r="Z49" s="49"/>
    </row>
    <row r="50" spans="2:26">
      <c r="B50" s="64" t="s">
        <v>573</v>
      </c>
      <c r="C50" s="64" t="s">
        <v>586</v>
      </c>
      <c r="D50" s="64" t="s">
        <v>47</v>
      </c>
      <c r="E50" s="65">
        <v>100</v>
      </c>
      <c r="F50" s="47"/>
      <c r="G50" s="46"/>
      <c r="H50" s="46"/>
      <c r="I50" s="47"/>
      <c r="J50" s="47"/>
      <c r="K50" s="47"/>
      <c r="L50" s="46" t="s">
        <v>76</v>
      </c>
      <c r="M50" s="46"/>
      <c r="N50" s="67" t="s">
        <v>574</v>
      </c>
      <c r="O50" s="49"/>
      <c r="P50" s="49" t="s">
        <v>642</v>
      </c>
      <c r="R50" s="162" t="s">
        <v>136</v>
      </c>
      <c r="S50" s="162" t="s">
        <v>136</v>
      </c>
      <c r="T50" s="159"/>
      <c r="V50" s="67" t="s">
        <v>574</v>
      </c>
      <c r="W50" s="67" t="s">
        <v>574</v>
      </c>
      <c r="X50" s="49"/>
      <c r="Y50" s="49"/>
      <c r="Z50" s="49"/>
    </row>
    <row r="51" spans="2:26">
      <c r="B51" s="64" t="s">
        <v>573</v>
      </c>
      <c r="C51" s="64" t="s">
        <v>587</v>
      </c>
      <c r="D51" s="64" t="s">
        <v>47</v>
      </c>
      <c r="E51" s="65">
        <v>100</v>
      </c>
      <c r="F51" s="47"/>
      <c r="G51" s="46"/>
      <c r="H51" s="46"/>
      <c r="I51" s="47"/>
      <c r="J51" s="47"/>
      <c r="K51" s="47"/>
      <c r="L51" s="46" t="s">
        <v>76</v>
      </c>
      <c r="M51" s="46"/>
      <c r="N51" s="67" t="s">
        <v>574</v>
      </c>
      <c r="O51" s="49"/>
      <c r="P51" s="49" t="s">
        <v>642</v>
      </c>
      <c r="R51" s="162" t="s">
        <v>136</v>
      </c>
      <c r="S51" s="162" t="s">
        <v>136</v>
      </c>
      <c r="T51" s="159"/>
      <c r="V51" s="67" t="s">
        <v>574</v>
      </c>
      <c r="W51" s="67" t="s">
        <v>574</v>
      </c>
      <c r="X51" s="49"/>
      <c r="Y51" s="49"/>
      <c r="Z51" s="49"/>
    </row>
    <row r="52" spans="2:26">
      <c r="B52" s="64" t="s">
        <v>573</v>
      </c>
      <c r="C52" s="64" t="s">
        <v>588</v>
      </c>
      <c r="D52" s="64" t="s">
        <v>47</v>
      </c>
      <c r="E52" s="65">
        <v>100</v>
      </c>
      <c r="F52" s="47"/>
      <c r="G52" s="46"/>
      <c r="H52" s="46"/>
      <c r="I52" s="47"/>
      <c r="J52" s="47"/>
      <c r="K52" s="47"/>
      <c r="L52" s="46" t="s">
        <v>76</v>
      </c>
      <c r="M52" s="46"/>
      <c r="N52" s="67" t="s">
        <v>574</v>
      </c>
      <c r="O52" s="49"/>
      <c r="P52" s="49" t="s">
        <v>642</v>
      </c>
      <c r="R52" s="162" t="s">
        <v>136</v>
      </c>
      <c r="S52" s="162" t="s">
        <v>136</v>
      </c>
      <c r="T52" s="159"/>
      <c r="V52" s="67" t="s">
        <v>574</v>
      </c>
      <c r="W52" s="67" t="s">
        <v>574</v>
      </c>
      <c r="X52" s="49"/>
      <c r="Y52" s="49"/>
      <c r="Z52" s="49"/>
    </row>
    <row r="53" spans="2:26">
      <c r="B53" s="64" t="s">
        <v>573</v>
      </c>
      <c r="C53" s="64" t="s">
        <v>589</v>
      </c>
      <c r="D53" s="64" t="s">
        <v>47</v>
      </c>
      <c r="E53" s="65">
        <v>100</v>
      </c>
      <c r="F53" s="47"/>
      <c r="G53" s="46"/>
      <c r="H53" s="46"/>
      <c r="I53" s="47"/>
      <c r="J53" s="47"/>
      <c r="K53" s="47"/>
      <c r="L53" s="46" t="s">
        <v>76</v>
      </c>
      <c r="M53" s="46"/>
      <c r="N53" s="67" t="s">
        <v>574</v>
      </c>
      <c r="O53" s="49"/>
      <c r="P53" s="49" t="s">
        <v>642</v>
      </c>
      <c r="R53" s="162" t="s">
        <v>136</v>
      </c>
      <c r="S53" s="162" t="s">
        <v>136</v>
      </c>
      <c r="T53" s="159"/>
      <c r="V53" s="67" t="s">
        <v>574</v>
      </c>
      <c r="W53" s="67" t="s">
        <v>574</v>
      </c>
      <c r="X53" s="49"/>
      <c r="Y53" s="49"/>
      <c r="Z53" s="49"/>
    </row>
    <row r="54" spans="2:26">
      <c r="B54" s="64" t="s">
        <v>573</v>
      </c>
      <c r="C54" s="64" t="s">
        <v>590</v>
      </c>
      <c r="D54" s="64" t="s">
        <v>47</v>
      </c>
      <c r="E54" s="65">
        <v>100</v>
      </c>
      <c r="F54" s="47"/>
      <c r="G54" s="46"/>
      <c r="H54" s="46"/>
      <c r="I54" s="47"/>
      <c r="J54" s="47"/>
      <c r="K54" s="47"/>
      <c r="L54" s="46" t="s">
        <v>76</v>
      </c>
      <c r="M54" s="46"/>
      <c r="N54" s="67" t="s">
        <v>574</v>
      </c>
      <c r="O54" s="49"/>
      <c r="P54" s="49" t="s">
        <v>642</v>
      </c>
      <c r="R54" s="162" t="s">
        <v>136</v>
      </c>
      <c r="S54" s="162" t="s">
        <v>136</v>
      </c>
      <c r="T54" s="159"/>
      <c r="V54" s="67" t="s">
        <v>574</v>
      </c>
      <c r="W54" s="67" t="s">
        <v>574</v>
      </c>
      <c r="X54" s="49"/>
      <c r="Y54" s="49"/>
      <c r="Z54" s="49"/>
    </row>
    <row r="55" spans="2:26">
      <c r="B55" s="64" t="s">
        <v>573</v>
      </c>
      <c r="C55" s="64" t="s">
        <v>591</v>
      </c>
      <c r="D55" s="64" t="s">
        <v>47</v>
      </c>
      <c r="E55" s="65">
        <v>100</v>
      </c>
      <c r="F55" s="47"/>
      <c r="G55" s="46"/>
      <c r="H55" s="46"/>
      <c r="I55" s="47"/>
      <c r="J55" s="47"/>
      <c r="K55" s="47"/>
      <c r="L55" s="46" t="s">
        <v>76</v>
      </c>
      <c r="M55" s="46"/>
      <c r="N55" s="67" t="s">
        <v>574</v>
      </c>
      <c r="O55" s="49"/>
      <c r="P55" s="49" t="s">
        <v>642</v>
      </c>
      <c r="R55" s="162" t="s">
        <v>136</v>
      </c>
      <c r="S55" s="162" t="s">
        <v>136</v>
      </c>
      <c r="T55" s="159"/>
      <c r="V55" s="67" t="s">
        <v>574</v>
      </c>
      <c r="W55" s="67" t="s">
        <v>574</v>
      </c>
      <c r="X55" s="49"/>
      <c r="Y55" s="49"/>
      <c r="Z55" s="49"/>
    </row>
    <row r="56" spans="2:26">
      <c r="B56" s="64" t="s">
        <v>573</v>
      </c>
      <c r="C56" s="64" t="s">
        <v>592</v>
      </c>
      <c r="D56" s="64" t="s">
        <v>47</v>
      </c>
      <c r="E56" s="65">
        <v>100</v>
      </c>
      <c r="F56" s="47"/>
      <c r="G56" s="46"/>
      <c r="H56" s="46"/>
      <c r="I56" s="47"/>
      <c r="J56" s="47"/>
      <c r="K56" s="47"/>
      <c r="L56" s="46" t="s">
        <v>76</v>
      </c>
      <c r="M56" s="46"/>
      <c r="N56" s="67" t="s">
        <v>574</v>
      </c>
      <c r="O56" s="49"/>
      <c r="P56" s="49" t="s">
        <v>642</v>
      </c>
      <c r="R56" s="162" t="s">
        <v>136</v>
      </c>
      <c r="S56" s="162" t="s">
        <v>136</v>
      </c>
      <c r="T56" s="159"/>
      <c r="V56" s="67" t="s">
        <v>574</v>
      </c>
      <c r="W56" s="67" t="s">
        <v>574</v>
      </c>
      <c r="X56" s="49"/>
      <c r="Y56" s="49"/>
      <c r="Z56" s="49"/>
    </row>
    <row r="57" spans="2:26">
      <c r="B57" s="64" t="s">
        <v>573</v>
      </c>
      <c r="C57" s="64" t="s">
        <v>593</v>
      </c>
      <c r="D57" s="64" t="s">
        <v>47</v>
      </c>
      <c r="E57" s="65">
        <v>100</v>
      </c>
      <c r="F57" s="47"/>
      <c r="G57" s="46"/>
      <c r="H57" s="46"/>
      <c r="I57" s="47"/>
      <c r="J57" s="47"/>
      <c r="K57" s="47"/>
      <c r="L57" s="46" t="s">
        <v>76</v>
      </c>
      <c r="M57" s="46"/>
      <c r="N57" s="67" t="s">
        <v>574</v>
      </c>
      <c r="O57" s="49"/>
      <c r="P57" s="49" t="s">
        <v>642</v>
      </c>
      <c r="R57" s="162" t="s">
        <v>136</v>
      </c>
      <c r="S57" s="162" t="s">
        <v>136</v>
      </c>
      <c r="T57" s="159"/>
      <c r="V57" s="67" t="s">
        <v>574</v>
      </c>
      <c r="W57" s="67" t="s">
        <v>574</v>
      </c>
      <c r="X57" s="49"/>
      <c r="Y57" s="49"/>
      <c r="Z57" s="49"/>
    </row>
    <row r="58" spans="2:26">
      <c r="B58" s="64" t="s">
        <v>573</v>
      </c>
      <c r="C58" s="64" t="s">
        <v>594</v>
      </c>
      <c r="D58" s="64" t="s">
        <v>47</v>
      </c>
      <c r="E58" s="65">
        <v>100</v>
      </c>
      <c r="F58" s="47"/>
      <c r="G58" s="46"/>
      <c r="H58" s="46"/>
      <c r="I58" s="47"/>
      <c r="J58" s="47"/>
      <c r="K58" s="47"/>
      <c r="L58" s="46" t="s">
        <v>76</v>
      </c>
      <c r="M58" s="46"/>
      <c r="N58" s="67" t="s">
        <v>574</v>
      </c>
      <c r="O58" s="49"/>
      <c r="P58" s="49" t="s">
        <v>642</v>
      </c>
      <c r="R58" s="162" t="s">
        <v>136</v>
      </c>
      <c r="S58" s="162" t="s">
        <v>136</v>
      </c>
      <c r="T58" s="159"/>
      <c r="V58" s="67" t="s">
        <v>574</v>
      </c>
      <c r="W58" s="67" t="s">
        <v>574</v>
      </c>
      <c r="X58" s="49"/>
      <c r="Y58" s="49"/>
      <c r="Z58" s="49"/>
    </row>
    <row r="59" spans="2:26">
      <c r="B59" s="46" t="s">
        <v>43</v>
      </c>
      <c r="C59" s="46" t="s">
        <v>16</v>
      </c>
      <c r="D59" s="46" t="s">
        <v>17</v>
      </c>
      <c r="E59" s="47">
        <v>8</v>
      </c>
      <c r="F59" s="47" t="s">
        <v>86</v>
      </c>
      <c r="G59" s="54" t="s">
        <v>135</v>
      </c>
      <c r="H59" s="46"/>
      <c r="I59" s="47"/>
      <c r="J59" s="47"/>
      <c r="K59" s="47"/>
      <c r="L59" s="46" t="s">
        <v>82</v>
      </c>
      <c r="M59" s="46" t="s">
        <v>14</v>
      </c>
      <c r="N59" s="49"/>
      <c r="O59" s="49"/>
      <c r="P59" s="49"/>
      <c r="R59" s="162" t="s">
        <v>136</v>
      </c>
      <c r="S59" s="162" t="s">
        <v>136</v>
      </c>
      <c r="T59" s="159"/>
      <c r="V59" s="49"/>
      <c r="W59" s="49"/>
      <c r="X59" s="49"/>
      <c r="Y59" s="49"/>
      <c r="Z59" s="49"/>
    </row>
    <row r="60" spans="2:26">
      <c r="B60" s="46" t="s">
        <v>44</v>
      </c>
      <c r="C60" s="46" t="s">
        <v>18</v>
      </c>
      <c r="D60" s="46" t="s">
        <v>17</v>
      </c>
      <c r="E60" s="47">
        <v>8</v>
      </c>
      <c r="F60" s="47" t="s">
        <v>86</v>
      </c>
      <c r="G60" s="54" t="s">
        <v>135</v>
      </c>
      <c r="H60" s="46"/>
      <c r="I60" s="47"/>
      <c r="J60" s="47"/>
      <c r="K60" s="47"/>
      <c r="L60" s="46" t="s">
        <v>82</v>
      </c>
      <c r="M60" s="46" t="s">
        <v>14</v>
      </c>
      <c r="N60" s="49"/>
      <c r="O60" s="49"/>
      <c r="P60" s="49"/>
      <c r="R60" s="162" t="s">
        <v>136</v>
      </c>
      <c r="S60" s="162" t="s">
        <v>136</v>
      </c>
      <c r="T60" s="159"/>
      <c r="V60" s="49"/>
      <c r="W60" s="49"/>
      <c r="X60" s="49"/>
      <c r="Y60" s="49"/>
      <c r="Z60" s="49"/>
    </row>
    <row r="61" spans="2:26">
      <c r="B61" s="46" t="s">
        <v>19</v>
      </c>
      <c r="C61" s="46" t="s">
        <v>20</v>
      </c>
      <c r="D61" s="46" t="s">
        <v>13</v>
      </c>
      <c r="E61" s="47">
        <v>40</v>
      </c>
      <c r="F61" s="47" t="s">
        <v>86</v>
      </c>
      <c r="G61" s="46"/>
      <c r="H61" s="46"/>
      <c r="I61" s="47"/>
      <c r="J61" s="47"/>
      <c r="K61" s="47"/>
      <c r="L61" s="46" t="s">
        <v>78</v>
      </c>
      <c r="M61" s="46" t="s">
        <v>14</v>
      </c>
      <c r="N61" s="49"/>
      <c r="O61" s="49"/>
      <c r="P61" s="49"/>
      <c r="R61" s="162" t="s">
        <v>136</v>
      </c>
      <c r="S61" s="162" t="s">
        <v>136</v>
      </c>
      <c r="T61" s="159"/>
      <c r="V61" s="49"/>
      <c r="W61" s="49"/>
      <c r="X61" s="49"/>
      <c r="Y61" s="49"/>
      <c r="Z61" s="49"/>
    </row>
    <row r="62" spans="2:26">
      <c r="B62" s="46" t="s">
        <v>21</v>
      </c>
      <c r="C62" s="46" t="s">
        <v>22</v>
      </c>
      <c r="D62" s="46" t="s">
        <v>13</v>
      </c>
      <c r="E62" s="47">
        <v>40</v>
      </c>
      <c r="F62" s="47" t="s">
        <v>86</v>
      </c>
      <c r="G62" s="46"/>
      <c r="H62" s="46"/>
      <c r="I62" s="47"/>
      <c r="J62" s="47"/>
      <c r="K62" s="47"/>
      <c r="L62" s="46" t="s">
        <v>78</v>
      </c>
      <c r="M62" s="46" t="s">
        <v>14</v>
      </c>
      <c r="N62" s="49"/>
      <c r="O62" s="49"/>
      <c r="P62" s="49"/>
      <c r="R62" s="162" t="s">
        <v>136</v>
      </c>
      <c r="S62" s="162" t="s">
        <v>136</v>
      </c>
      <c r="T62" s="159"/>
      <c r="V62" s="49"/>
      <c r="W62" s="49"/>
      <c r="X62" s="49"/>
      <c r="Y62" s="49"/>
      <c r="Z62" s="49"/>
    </row>
    <row r="63" spans="2:26" ht="25.2">
      <c r="B63" s="46" t="s">
        <v>45</v>
      </c>
      <c r="C63" s="46" t="s">
        <v>46</v>
      </c>
      <c r="D63" s="46" t="s">
        <v>13</v>
      </c>
      <c r="E63" s="47">
        <v>10</v>
      </c>
      <c r="F63" s="47" t="s">
        <v>86</v>
      </c>
      <c r="G63" s="46"/>
      <c r="H63" s="46"/>
      <c r="I63" s="47"/>
      <c r="J63" s="47"/>
      <c r="K63" s="47"/>
      <c r="L63" s="46" t="s">
        <v>83</v>
      </c>
      <c r="M63" s="46" t="s">
        <v>14</v>
      </c>
      <c r="N63" s="49" t="s">
        <v>62</v>
      </c>
      <c r="O63" s="48" t="s">
        <v>63</v>
      </c>
      <c r="P63" s="49"/>
      <c r="R63" s="162" t="s">
        <v>136</v>
      </c>
      <c r="S63" s="162" t="s">
        <v>136</v>
      </c>
      <c r="T63" s="159"/>
      <c r="V63" s="49"/>
      <c r="W63" s="49"/>
      <c r="X63" s="49"/>
      <c r="Y63" s="49"/>
      <c r="Z63" s="49"/>
    </row>
    <row r="64" spans="2:26">
      <c r="R64" s="44"/>
      <c r="S64" s="44"/>
      <c r="T64" s="44"/>
    </row>
    <row r="65" s="44" customFormat="1"/>
    <row r="66" s="44" customFormat="1"/>
    <row r="67" s="44" customFormat="1"/>
    <row r="68" s="44" customFormat="1"/>
    <row r="69" s="44" customFormat="1"/>
    <row r="70" s="44" customFormat="1"/>
    <row r="71" s="44" customFormat="1"/>
    <row r="72" s="44" customFormat="1"/>
    <row r="73" s="44" customFormat="1"/>
    <row r="74" s="44" customFormat="1"/>
    <row r="75" s="44" customFormat="1"/>
    <row r="76" s="44" customFormat="1"/>
    <row r="77" s="44" customFormat="1"/>
    <row r="78" s="44" customFormat="1"/>
    <row r="79" s="44" customFormat="1"/>
    <row r="80" s="44" customFormat="1"/>
    <row r="81" s="44" customFormat="1"/>
    <row r="82" s="44" customFormat="1"/>
    <row r="83" s="44" customFormat="1"/>
    <row r="84" s="44" customFormat="1"/>
    <row r="85" s="44" customFormat="1"/>
    <row r="86" s="44" customFormat="1"/>
    <row r="87" s="44" customFormat="1"/>
    <row r="88" s="44" customFormat="1"/>
    <row r="89" s="44" customFormat="1"/>
    <row r="90" s="44" customFormat="1"/>
    <row r="91" s="44" customFormat="1"/>
    <row r="92" s="44" customFormat="1"/>
    <row r="93" s="44" customFormat="1"/>
    <row r="94" s="44" customFormat="1"/>
    <row r="95" s="44" customFormat="1"/>
    <row r="96" s="44" customFormat="1"/>
    <row r="97" s="44" customFormat="1"/>
    <row r="98" s="44" customFormat="1"/>
    <row r="99" s="44" customFormat="1"/>
    <row r="100" s="44" customFormat="1"/>
    <row r="101" s="44" customFormat="1"/>
    <row r="102" s="44" customFormat="1"/>
    <row r="103" s="44" customFormat="1"/>
    <row r="104" s="44" customFormat="1"/>
    <row r="105" s="44" customFormat="1"/>
    <row r="106" s="44" customFormat="1"/>
    <row r="107" s="44" customFormat="1"/>
    <row r="108" s="44" customFormat="1"/>
    <row r="109" s="44" customFormat="1"/>
    <row r="110" s="44" customFormat="1"/>
    <row r="111" s="44" customFormat="1"/>
    <row r="112" s="44" customFormat="1"/>
    <row r="113" s="44" customFormat="1"/>
    <row r="114" s="44" customFormat="1"/>
    <row r="115" s="44" customFormat="1"/>
    <row r="116" s="44" customFormat="1"/>
    <row r="117" s="44" customFormat="1"/>
    <row r="118" s="44" customFormat="1"/>
    <row r="119" s="44" customFormat="1"/>
    <row r="120" s="44" customFormat="1"/>
    <row r="121" s="44" customFormat="1"/>
    <row r="122" s="44" customFormat="1"/>
    <row r="123" s="44" customFormat="1"/>
    <row r="124" s="44" customFormat="1"/>
    <row r="125" s="44" customFormat="1"/>
    <row r="126" s="44" customFormat="1"/>
    <row r="127" s="44" customFormat="1"/>
    <row r="128" s="44" customFormat="1"/>
    <row r="129" s="44" customFormat="1"/>
    <row r="130" s="44" customFormat="1"/>
    <row r="131" s="44" customFormat="1"/>
    <row r="132" s="44" customFormat="1"/>
    <row r="133" s="44" customFormat="1"/>
    <row r="134" s="44" customFormat="1"/>
    <row r="135" s="44" customFormat="1"/>
    <row r="136" s="44" customFormat="1"/>
    <row r="137" s="44" customFormat="1"/>
    <row r="138" s="44" customFormat="1"/>
  </sheetData>
  <mergeCells count="4">
    <mergeCell ref="D5:F5"/>
    <mergeCell ref="D6:F6"/>
    <mergeCell ref="H5:P5"/>
    <mergeCell ref="H6:P6"/>
  </mergeCells>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DF6CE-C76B-41B9-97BA-4A9E55623003}">
  <sheetPr codeName="Sheet15">
    <tabColor theme="7" tint="0.79998168889431442"/>
  </sheetPr>
  <dimension ref="A2:AC138"/>
  <sheetViews>
    <sheetView showGridLines="0" workbookViewId="0"/>
  </sheetViews>
  <sheetFormatPr defaultColWidth="8.90625" defaultRowHeight="15"/>
  <cols>
    <col min="1" max="1" width="2.54296875" style="44" customWidth="1"/>
    <col min="2" max="3" width="22.81640625" style="44" customWidth="1"/>
    <col min="4" max="4" width="7.1796875" style="44" bestFit="1" customWidth="1"/>
    <col min="5" max="5" width="5.1796875" style="44" customWidth="1"/>
    <col min="6" max="6" width="4.453125" style="44" customWidth="1"/>
    <col min="7" max="7" width="15.36328125" style="44" bestFit="1" customWidth="1"/>
    <col min="8" max="8" width="4.453125" style="44" customWidth="1"/>
    <col min="9" max="9" width="3.08984375" style="44" bestFit="1" customWidth="1"/>
    <col min="10" max="10" width="3.1796875" style="44" bestFit="1" customWidth="1"/>
    <col min="11" max="11" width="3" style="44" bestFit="1" customWidth="1"/>
    <col min="12" max="12" width="12" style="44" bestFit="1" customWidth="1"/>
    <col min="13" max="13" width="4.453125" style="44" customWidth="1"/>
    <col min="14" max="14" width="35.1796875" style="44" customWidth="1"/>
    <col min="15" max="15" width="27.36328125" style="44" customWidth="1"/>
    <col min="16" max="16" width="33.36328125" style="44" customWidth="1"/>
    <col min="17" max="17" width="2.36328125" style="44" customWidth="1"/>
    <col min="18" max="19" width="6.54296875" customWidth="1"/>
    <col min="20" max="20" width="15.1796875" customWidth="1"/>
    <col min="21" max="21" width="6.54296875" style="44" customWidth="1"/>
    <col min="22" max="26" width="20.6328125" style="44" customWidth="1"/>
    <col min="27" max="16384" width="8.90625" style="44"/>
  </cols>
  <sheetData>
    <row r="2" spans="1:29">
      <c r="A2" s="89"/>
      <c r="B2" s="112" t="s">
        <v>38</v>
      </c>
      <c r="C2" s="89"/>
      <c r="D2" s="89"/>
      <c r="E2" s="89"/>
      <c r="F2" s="89"/>
      <c r="G2" s="89"/>
      <c r="H2" s="89"/>
      <c r="I2" s="89"/>
      <c r="J2" s="89"/>
      <c r="K2" s="89"/>
      <c r="L2" s="89"/>
      <c r="M2" s="89"/>
      <c r="N2" s="89"/>
      <c r="O2" s="89"/>
      <c r="P2" s="89"/>
      <c r="Q2" s="89"/>
      <c r="R2" s="6"/>
      <c r="S2" s="6"/>
      <c r="T2" s="6"/>
      <c r="U2" s="89"/>
      <c r="V2" s="89"/>
      <c r="W2" s="89"/>
      <c r="X2" s="89"/>
      <c r="Y2" s="89"/>
      <c r="Z2" s="89"/>
      <c r="AA2" s="89"/>
      <c r="AB2" s="89"/>
      <c r="AC2" s="89"/>
    </row>
    <row r="3" spans="1:29" ht="7.5" customHeight="1">
      <c r="A3" s="74"/>
      <c r="B3" s="74"/>
      <c r="C3" s="74"/>
      <c r="D3" s="74"/>
      <c r="E3" s="74"/>
      <c r="F3" s="74"/>
      <c r="G3" s="74"/>
      <c r="H3" s="74"/>
      <c r="I3" s="74"/>
      <c r="J3" s="74"/>
      <c r="K3" s="74"/>
      <c r="L3" s="74"/>
      <c r="M3" s="74"/>
      <c r="N3" s="74"/>
      <c r="O3" s="74"/>
      <c r="P3" s="74"/>
      <c r="Q3" s="74"/>
      <c r="R3" s="1"/>
      <c r="S3" s="1"/>
      <c r="T3" s="1"/>
      <c r="U3" s="74"/>
      <c r="V3" s="74"/>
      <c r="W3" s="74"/>
      <c r="X3" s="74"/>
      <c r="Y3" s="74"/>
      <c r="Z3" s="74"/>
      <c r="AA3" s="74"/>
      <c r="AB3" s="74"/>
      <c r="AC3" s="74"/>
    </row>
    <row r="5" spans="1:29">
      <c r="B5" s="17" t="s">
        <v>30</v>
      </c>
      <c r="C5" s="17" t="s">
        <v>31</v>
      </c>
      <c r="D5" s="266" t="s">
        <v>37</v>
      </c>
      <c r="E5" s="267"/>
      <c r="F5" s="268"/>
      <c r="G5" s="17" t="s">
        <v>74</v>
      </c>
      <c r="H5" s="266" t="s">
        <v>85</v>
      </c>
      <c r="I5" s="267"/>
      <c r="J5" s="267"/>
      <c r="K5" s="267"/>
      <c r="L5" s="267"/>
      <c r="M5" s="267"/>
      <c r="N5" s="267"/>
      <c r="O5" s="267"/>
      <c r="P5" s="268"/>
      <c r="R5" t="s">
        <v>1859</v>
      </c>
    </row>
    <row r="6" spans="1:29">
      <c r="B6" s="30" t="s">
        <v>90</v>
      </c>
      <c r="C6" s="30" t="s">
        <v>618</v>
      </c>
      <c r="D6" s="237" t="s">
        <v>93</v>
      </c>
      <c r="E6" s="238"/>
      <c r="F6" s="239"/>
      <c r="G6" s="45" t="s">
        <v>75</v>
      </c>
      <c r="H6" s="240" t="s">
        <v>126</v>
      </c>
      <c r="I6" s="241"/>
      <c r="J6" s="241"/>
      <c r="K6" s="241"/>
      <c r="L6" s="241"/>
      <c r="M6" s="241"/>
      <c r="N6" s="241"/>
      <c r="O6" s="241"/>
      <c r="P6" s="242"/>
      <c r="R6" t="s">
        <v>1862</v>
      </c>
      <c r="V6" s="44" t="s">
        <v>109</v>
      </c>
    </row>
    <row r="7" spans="1:29">
      <c r="R7" t="s">
        <v>1863</v>
      </c>
    </row>
    <row r="8" spans="1:29">
      <c r="B8" s="17" t="s">
        <v>32</v>
      </c>
      <c r="C8" s="17" t="s">
        <v>33</v>
      </c>
      <c r="D8" s="17" t="s">
        <v>34</v>
      </c>
      <c r="E8" s="109" t="s">
        <v>10</v>
      </c>
      <c r="F8" s="110" t="s">
        <v>23</v>
      </c>
      <c r="G8" s="110" t="s">
        <v>24</v>
      </c>
      <c r="H8" s="110" t="s">
        <v>25</v>
      </c>
      <c r="I8" s="110" t="s">
        <v>26</v>
      </c>
      <c r="J8" s="110" t="s">
        <v>27</v>
      </c>
      <c r="K8" s="110" t="s">
        <v>28</v>
      </c>
      <c r="L8" s="110" t="s">
        <v>29</v>
      </c>
      <c r="M8" s="110" t="s">
        <v>11</v>
      </c>
      <c r="N8" s="17" t="s">
        <v>35</v>
      </c>
      <c r="O8" s="17" t="s">
        <v>36</v>
      </c>
      <c r="P8" s="17" t="s">
        <v>12</v>
      </c>
      <c r="R8" s="88" t="s">
        <v>1858</v>
      </c>
      <c r="S8" s="88" t="s">
        <v>1866</v>
      </c>
      <c r="T8" s="88" t="s">
        <v>155</v>
      </c>
      <c r="V8" s="17" t="s">
        <v>107</v>
      </c>
      <c r="W8" s="17" t="s">
        <v>107</v>
      </c>
      <c r="X8" s="17" t="s">
        <v>107</v>
      </c>
      <c r="Y8" s="17" t="s">
        <v>107</v>
      </c>
      <c r="Z8" s="17" t="s">
        <v>107</v>
      </c>
    </row>
    <row r="9" spans="1:29">
      <c r="B9" s="46" t="s">
        <v>421</v>
      </c>
      <c r="C9" s="46" t="s">
        <v>422</v>
      </c>
      <c r="D9" s="46" t="s">
        <v>64</v>
      </c>
      <c r="E9" s="47">
        <v>8</v>
      </c>
      <c r="F9" s="47"/>
      <c r="G9" s="46"/>
      <c r="H9" s="46" t="s">
        <v>513</v>
      </c>
      <c r="I9" s="47" t="s">
        <v>14</v>
      </c>
      <c r="J9" s="47"/>
      <c r="K9" s="47"/>
      <c r="L9" s="46"/>
      <c r="M9" s="46" t="s">
        <v>14</v>
      </c>
      <c r="N9" s="48" t="s">
        <v>564</v>
      </c>
      <c r="O9" s="49"/>
      <c r="P9" s="49"/>
      <c r="R9" s="162" t="s">
        <v>136</v>
      </c>
      <c r="S9" s="162" t="s">
        <v>136</v>
      </c>
      <c r="T9" s="159"/>
      <c r="V9" s="49"/>
      <c r="W9" s="49"/>
      <c r="X9" s="49"/>
      <c r="Y9" s="49"/>
      <c r="Z9" s="49"/>
    </row>
    <row r="10" spans="1:29">
      <c r="B10" s="46" t="s">
        <v>178</v>
      </c>
      <c r="C10" s="46" t="s">
        <v>42</v>
      </c>
      <c r="D10" s="46" t="s">
        <v>13</v>
      </c>
      <c r="E10" s="47">
        <v>8</v>
      </c>
      <c r="F10" s="47"/>
      <c r="G10" s="46"/>
      <c r="H10" s="46"/>
      <c r="I10" s="47"/>
      <c r="J10" s="47"/>
      <c r="K10" s="47"/>
      <c r="L10" s="46" t="s">
        <v>179</v>
      </c>
      <c r="M10" s="46"/>
      <c r="N10" s="49"/>
      <c r="O10" s="49"/>
      <c r="P10" s="49"/>
      <c r="R10" s="162" t="s">
        <v>136</v>
      </c>
      <c r="S10" s="162" t="s">
        <v>136</v>
      </c>
      <c r="T10" s="159"/>
      <c r="V10" s="49"/>
      <c r="W10" s="49"/>
      <c r="X10" s="49"/>
      <c r="Y10" s="49"/>
      <c r="Z10" s="49"/>
    </row>
    <row r="11" spans="1:29">
      <c r="B11" s="46" t="s">
        <v>570</v>
      </c>
      <c r="C11" s="46" t="s">
        <v>514</v>
      </c>
      <c r="D11" s="46" t="s">
        <v>17</v>
      </c>
      <c r="E11" s="47">
        <v>8</v>
      </c>
      <c r="F11" s="47"/>
      <c r="G11" s="46"/>
      <c r="H11" s="46"/>
      <c r="I11" s="47"/>
      <c r="J11" s="47"/>
      <c r="K11" s="47"/>
      <c r="L11" s="46" t="s">
        <v>242</v>
      </c>
      <c r="M11" s="46"/>
      <c r="N11" s="49"/>
      <c r="O11" s="49"/>
      <c r="P11" s="49"/>
      <c r="R11" s="162" t="s">
        <v>136</v>
      </c>
      <c r="S11" s="162" t="s">
        <v>136</v>
      </c>
      <c r="T11" s="159"/>
      <c r="V11" s="49"/>
      <c r="W11" s="49"/>
      <c r="X11" s="49"/>
      <c r="Y11" s="49"/>
      <c r="Z11" s="49"/>
    </row>
    <row r="12" spans="1:29" s="63" customFormat="1">
      <c r="B12" s="55" t="s">
        <v>571</v>
      </c>
      <c r="C12" s="55" t="s">
        <v>515</v>
      </c>
      <c r="D12" s="55" t="s">
        <v>17</v>
      </c>
      <c r="E12" s="56">
        <v>8</v>
      </c>
      <c r="F12" s="56"/>
      <c r="G12" s="55"/>
      <c r="H12" s="55"/>
      <c r="I12" s="56"/>
      <c r="J12" s="56"/>
      <c r="K12" s="56"/>
      <c r="L12" s="55" t="s">
        <v>242</v>
      </c>
      <c r="M12" s="55"/>
      <c r="N12" s="57"/>
      <c r="O12" s="57"/>
      <c r="P12" s="57" t="s">
        <v>616</v>
      </c>
      <c r="R12" s="168" t="s">
        <v>136</v>
      </c>
      <c r="S12" s="168" t="s">
        <v>136</v>
      </c>
      <c r="T12" s="169"/>
      <c r="V12" s="57"/>
      <c r="W12" s="57"/>
      <c r="X12" s="57"/>
      <c r="Y12" s="57"/>
      <c r="Z12" s="57"/>
    </row>
    <row r="13" spans="1:29" s="63" customFormat="1">
      <c r="B13" s="55" t="s">
        <v>516</v>
      </c>
      <c r="C13" s="55" t="s">
        <v>517</v>
      </c>
      <c r="D13" s="55" t="s">
        <v>64</v>
      </c>
      <c r="E13" s="56">
        <v>8</v>
      </c>
      <c r="F13" s="56"/>
      <c r="G13" s="55">
        <v>0</v>
      </c>
      <c r="H13" s="55"/>
      <c r="I13" s="56"/>
      <c r="J13" s="56"/>
      <c r="K13" s="56"/>
      <c r="L13" s="55" t="s">
        <v>231</v>
      </c>
      <c r="M13" s="55"/>
      <c r="N13" s="58"/>
      <c r="O13" s="57"/>
      <c r="P13" s="57" t="s">
        <v>616</v>
      </c>
      <c r="R13" s="168" t="s">
        <v>136</v>
      </c>
      <c r="S13" s="168" t="s">
        <v>136</v>
      </c>
      <c r="T13" s="169"/>
      <c r="V13" s="57"/>
      <c r="W13" s="57"/>
      <c r="X13" s="57"/>
      <c r="Y13" s="57"/>
      <c r="Z13" s="57"/>
    </row>
    <row r="14" spans="1:29" s="63" customFormat="1">
      <c r="B14" s="55" t="s">
        <v>518</v>
      </c>
      <c r="C14" s="55" t="s">
        <v>519</v>
      </c>
      <c r="D14" s="55" t="s">
        <v>64</v>
      </c>
      <c r="E14" s="56">
        <v>8</v>
      </c>
      <c r="F14" s="56"/>
      <c r="G14" s="55">
        <v>0</v>
      </c>
      <c r="H14" s="55"/>
      <c r="I14" s="56"/>
      <c r="J14" s="56"/>
      <c r="K14" s="56"/>
      <c r="L14" s="55" t="s">
        <v>231</v>
      </c>
      <c r="M14" s="55"/>
      <c r="N14" s="57"/>
      <c r="O14" s="57"/>
      <c r="P14" s="57" t="s">
        <v>616</v>
      </c>
      <c r="R14" s="168" t="s">
        <v>136</v>
      </c>
      <c r="S14" s="168" t="s">
        <v>136</v>
      </c>
      <c r="T14" s="169"/>
      <c r="V14" s="57"/>
      <c r="W14" s="57"/>
      <c r="X14" s="57"/>
      <c r="Y14" s="57"/>
      <c r="Z14" s="57"/>
    </row>
    <row r="15" spans="1:29" s="63" customFormat="1">
      <c r="B15" s="55" t="s">
        <v>520</v>
      </c>
      <c r="C15" s="55" t="s">
        <v>521</v>
      </c>
      <c r="D15" s="55" t="s">
        <v>64</v>
      </c>
      <c r="E15" s="56">
        <v>8</v>
      </c>
      <c r="F15" s="56"/>
      <c r="G15" s="55">
        <v>0</v>
      </c>
      <c r="H15" s="55"/>
      <c r="I15" s="56"/>
      <c r="J15" s="56"/>
      <c r="K15" s="56"/>
      <c r="L15" s="55" t="s">
        <v>231</v>
      </c>
      <c r="M15" s="55"/>
      <c r="N15" s="57"/>
      <c r="O15" s="57"/>
      <c r="P15" s="57" t="s">
        <v>616</v>
      </c>
      <c r="R15" s="168" t="s">
        <v>136</v>
      </c>
      <c r="S15" s="168" t="s">
        <v>136</v>
      </c>
      <c r="T15" s="169"/>
      <c r="V15" s="57"/>
      <c r="W15" s="57"/>
      <c r="X15" s="57"/>
      <c r="Y15" s="57"/>
      <c r="Z15" s="57"/>
    </row>
    <row r="16" spans="1:29" s="63" customFormat="1">
      <c r="B16" s="55" t="s">
        <v>522</v>
      </c>
      <c r="C16" s="55" t="s">
        <v>523</v>
      </c>
      <c r="D16" s="55" t="s">
        <v>64</v>
      </c>
      <c r="E16" s="56">
        <v>8</v>
      </c>
      <c r="F16" s="56"/>
      <c r="G16" s="55">
        <v>0</v>
      </c>
      <c r="H16" s="55"/>
      <c r="I16" s="56"/>
      <c r="J16" s="56"/>
      <c r="K16" s="56"/>
      <c r="L16" s="55" t="s">
        <v>231</v>
      </c>
      <c r="M16" s="55"/>
      <c r="N16" s="57"/>
      <c r="O16" s="57"/>
      <c r="P16" s="57" t="s">
        <v>616</v>
      </c>
      <c r="R16" s="168" t="s">
        <v>136</v>
      </c>
      <c r="S16" s="168" t="s">
        <v>136</v>
      </c>
      <c r="T16" s="169"/>
      <c r="V16" s="57"/>
      <c r="W16" s="57"/>
      <c r="X16" s="57"/>
      <c r="Y16" s="57"/>
      <c r="Z16" s="57"/>
    </row>
    <row r="17" spans="2:26" s="63" customFormat="1">
      <c r="B17" s="55" t="s">
        <v>524</v>
      </c>
      <c r="C17" s="55" t="s">
        <v>525</v>
      </c>
      <c r="D17" s="55" t="s">
        <v>193</v>
      </c>
      <c r="E17" s="56">
        <v>10</v>
      </c>
      <c r="F17" s="56"/>
      <c r="G17" s="55"/>
      <c r="H17" s="55"/>
      <c r="I17" s="56"/>
      <c r="J17" s="56"/>
      <c r="K17" s="56"/>
      <c r="L17" s="55" t="s">
        <v>526</v>
      </c>
      <c r="M17" s="55"/>
      <c r="N17" s="57"/>
      <c r="O17" s="58"/>
      <c r="P17" s="57" t="s">
        <v>616</v>
      </c>
      <c r="R17" s="168" t="s">
        <v>136</v>
      </c>
      <c r="S17" s="168" t="s">
        <v>136</v>
      </c>
      <c r="T17" s="169"/>
      <c r="V17" s="57"/>
      <c r="W17" s="57"/>
      <c r="X17" s="57"/>
      <c r="Y17" s="57"/>
      <c r="Z17" s="57"/>
    </row>
    <row r="18" spans="2:26" s="63" customFormat="1">
      <c r="B18" s="55" t="s">
        <v>527</v>
      </c>
      <c r="C18" s="55" t="s">
        <v>528</v>
      </c>
      <c r="D18" s="55" t="s">
        <v>13</v>
      </c>
      <c r="E18" s="56">
        <v>10</v>
      </c>
      <c r="F18" s="56"/>
      <c r="G18" s="55"/>
      <c r="H18" s="55"/>
      <c r="I18" s="56"/>
      <c r="J18" s="56"/>
      <c r="K18" s="56"/>
      <c r="L18" s="55" t="s">
        <v>529</v>
      </c>
      <c r="M18" s="55"/>
      <c r="N18" s="57" t="s">
        <v>565</v>
      </c>
      <c r="O18" s="57"/>
      <c r="P18" s="57" t="s">
        <v>616</v>
      </c>
      <c r="R18" s="168" t="s">
        <v>136</v>
      </c>
      <c r="S18" s="168" t="s">
        <v>136</v>
      </c>
      <c r="T18" s="169"/>
      <c r="V18" s="57"/>
      <c r="W18" s="57"/>
      <c r="X18" s="57"/>
      <c r="Y18" s="57"/>
      <c r="Z18" s="57"/>
    </row>
    <row r="19" spans="2:26">
      <c r="B19" s="46" t="s">
        <v>530</v>
      </c>
      <c r="C19" s="46" t="s">
        <v>531</v>
      </c>
      <c r="D19" s="46" t="s">
        <v>13</v>
      </c>
      <c r="E19" s="47">
        <v>50</v>
      </c>
      <c r="F19" s="47"/>
      <c r="G19" s="46"/>
      <c r="H19" s="46"/>
      <c r="I19" s="47"/>
      <c r="J19" s="47"/>
      <c r="K19" s="47"/>
      <c r="L19" s="46" t="s">
        <v>315</v>
      </c>
      <c r="M19" s="46"/>
      <c r="N19" s="49"/>
      <c r="O19" s="49"/>
      <c r="P19" s="49"/>
      <c r="R19" s="162" t="s">
        <v>136</v>
      </c>
      <c r="S19" s="162" t="s">
        <v>136</v>
      </c>
      <c r="T19" s="159"/>
      <c r="V19" s="49"/>
      <c r="W19" s="49"/>
      <c r="X19" s="49"/>
      <c r="Y19" s="49"/>
      <c r="Z19" s="49"/>
    </row>
    <row r="20" spans="2:26">
      <c r="B20" s="46" t="s">
        <v>532</v>
      </c>
      <c r="C20" s="46" t="s">
        <v>533</v>
      </c>
      <c r="D20" s="46" t="s">
        <v>193</v>
      </c>
      <c r="E20" s="47">
        <v>40</v>
      </c>
      <c r="F20" s="47"/>
      <c r="G20" s="46"/>
      <c r="H20" s="46"/>
      <c r="I20" s="47"/>
      <c r="J20" s="47"/>
      <c r="K20" s="47"/>
      <c r="L20" s="46" t="s">
        <v>211</v>
      </c>
      <c r="M20" s="46"/>
      <c r="N20" s="49"/>
      <c r="O20" s="49"/>
      <c r="P20" s="49"/>
      <c r="R20" s="162" t="s">
        <v>136</v>
      </c>
      <c r="S20" s="162" t="s">
        <v>136</v>
      </c>
      <c r="T20" s="159"/>
      <c r="V20" s="49"/>
      <c r="W20" s="49"/>
      <c r="X20" s="49"/>
      <c r="Y20" s="49"/>
      <c r="Z20" s="49"/>
    </row>
    <row r="21" spans="2:26">
      <c r="B21" s="46" t="s">
        <v>534</v>
      </c>
      <c r="C21" s="46" t="s">
        <v>535</v>
      </c>
      <c r="D21" s="46" t="s">
        <v>193</v>
      </c>
      <c r="E21" s="47">
        <v>40</v>
      </c>
      <c r="F21" s="47"/>
      <c r="G21" s="46"/>
      <c r="H21" s="46"/>
      <c r="I21" s="47"/>
      <c r="J21" s="47"/>
      <c r="K21" s="47"/>
      <c r="L21" s="46" t="s">
        <v>211</v>
      </c>
      <c r="M21" s="46"/>
      <c r="N21" s="49"/>
      <c r="O21" s="49"/>
      <c r="P21" s="49"/>
      <c r="R21" s="162" t="s">
        <v>136</v>
      </c>
      <c r="S21" s="162" t="s">
        <v>136</v>
      </c>
      <c r="T21" s="159"/>
      <c r="V21" s="49"/>
      <c r="W21" s="49"/>
      <c r="X21" s="49"/>
      <c r="Y21" s="49"/>
      <c r="Z21" s="49"/>
    </row>
    <row r="22" spans="2:26">
      <c r="B22" s="46" t="s">
        <v>536</v>
      </c>
      <c r="C22" s="46" t="s">
        <v>537</v>
      </c>
      <c r="D22" s="46" t="s">
        <v>193</v>
      </c>
      <c r="E22" s="47">
        <v>40</v>
      </c>
      <c r="F22" s="47"/>
      <c r="G22" s="46"/>
      <c r="H22" s="46"/>
      <c r="I22" s="47"/>
      <c r="J22" s="47"/>
      <c r="K22" s="47"/>
      <c r="L22" s="46" t="s">
        <v>211</v>
      </c>
      <c r="M22" s="46"/>
      <c r="N22" s="49"/>
      <c r="O22" s="49"/>
      <c r="P22" s="49"/>
      <c r="R22" s="162" t="s">
        <v>136</v>
      </c>
      <c r="S22" s="162" t="s">
        <v>136</v>
      </c>
      <c r="T22" s="159"/>
      <c r="V22" s="49"/>
      <c r="W22" s="49"/>
      <c r="X22" s="49"/>
      <c r="Y22" s="49"/>
      <c r="Z22" s="49"/>
    </row>
    <row r="23" spans="2:26">
      <c r="B23" s="46" t="s">
        <v>538</v>
      </c>
      <c r="C23" s="46" t="s">
        <v>539</v>
      </c>
      <c r="D23" s="46" t="s">
        <v>13</v>
      </c>
      <c r="E23" s="47">
        <v>20</v>
      </c>
      <c r="F23" s="47"/>
      <c r="G23" s="46"/>
      <c r="H23" s="46"/>
      <c r="I23" s="47"/>
      <c r="J23" s="47"/>
      <c r="K23" s="47"/>
      <c r="L23" s="46" t="s">
        <v>289</v>
      </c>
      <c r="M23" s="46"/>
      <c r="N23" s="49"/>
      <c r="O23" s="49"/>
      <c r="P23" s="49"/>
      <c r="R23" s="162" t="s">
        <v>136</v>
      </c>
      <c r="S23" s="162" t="s">
        <v>136</v>
      </c>
      <c r="T23" s="159"/>
      <c r="V23" s="49"/>
      <c r="W23" s="49"/>
      <c r="X23" s="49"/>
      <c r="Y23" s="49"/>
      <c r="Z23" s="49"/>
    </row>
    <row r="24" spans="2:26" ht="25.2">
      <c r="B24" s="46" t="s">
        <v>540</v>
      </c>
      <c r="C24" s="46" t="s">
        <v>541</v>
      </c>
      <c r="D24" s="46" t="s">
        <v>13</v>
      </c>
      <c r="E24" s="47">
        <v>10</v>
      </c>
      <c r="F24" s="47"/>
      <c r="G24" s="46"/>
      <c r="H24" s="46"/>
      <c r="I24" s="47"/>
      <c r="J24" s="47"/>
      <c r="K24" s="47"/>
      <c r="L24" s="46" t="s">
        <v>542</v>
      </c>
      <c r="M24" s="46"/>
      <c r="N24" s="49"/>
      <c r="O24" s="48" t="s">
        <v>568</v>
      </c>
      <c r="P24" s="49"/>
      <c r="R24" s="162" t="s">
        <v>136</v>
      </c>
      <c r="S24" s="162" t="s">
        <v>136</v>
      </c>
      <c r="T24" s="159"/>
      <c r="V24" s="49"/>
      <c r="W24" s="49"/>
      <c r="X24" s="49"/>
      <c r="Y24" s="49"/>
      <c r="Z24" s="49"/>
    </row>
    <row r="25" spans="2:26">
      <c r="B25" s="46" t="s">
        <v>543</v>
      </c>
      <c r="C25" s="46" t="s">
        <v>544</v>
      </c>
      <c r="D25" s="46" t="s">
        <v>13</v>
      </c>
      <c r="E25" s="47">
        <v>50</v>
      </c>
      <c r="F25" s="47"/>
      <c r="G25" s="46"/>
      <c r="H25" s="46"/>
      <c r="I25" s="47"/>
      <c r="J25" s="47"/>
      <c r="K25" s="47"/>
      <c r="L25" s="46" t="s">
        <v>315</v>
      </c>
      <c r="M25" s="46"/>
      <c r="N25" s="49" t="s">
        <v>566</v>
      </c>
      <c r="O25" s="49"/>
      <c r="P25" s="49"/>
      <c r="R25" s="162" t="s">
        <v>136</v>
      </c>
      <c r="S25" s="162" t="s">
        <v>136</v>
      </c>
      <c r="T25" s="159"/>
      <c r="V25" s="49"/>
      <c r="W25" s="49"/>
      <c r="X25" s="49"/>
      <c r="Y25" s="49"/>
      <c r="Z25" s="49"/>
    </row>
    <row r="26" spans="2:26">
      <c r="B26" s="46" t="s">
        <v>545</v>
      </c>
      <c r="C26" s="46" t="s">
        <v>546</v>
      </c>
      <c r="D26" s="46" t="s">
        <v>13</v>
      </c>
      <c r="E26" s="47" t="s">
        <v>48</v>
      </c>
      <c r="F26" s="47"/>
      <c r="G26" s="46"/>
      <c r="H26" s="46"/>
      <c r="I26" s="47"/>
      <c r="J26" s="47"/>
      <c r="K26" s="47"/>
      <c r="L26" s="46" t="s">
        <v>204</v>
      </c>
      <c r="M26" s="46"/>
      <c r="N26" s="49" t="s">
        <v>567</v>
      </c>
      <c r="O26" s="49"/>
      <c r="P26" s="49"/>
      <c r="R26" s="162" t="s">
        <v>136</v>
      </c>
      <c r="S26" s="162" t="s">
        <v>136</v>
      </c>
      <c r="T26" s="159"/>
      <c r="V26" s="49"/>
      <c r="W26" s="49"/>
      <c r="X26" s="49"/>
      <c r="Y26" s="49"/>
      <c r="Z26" s="49"/>
    </row>
    <row r="27" spans="2:26" ht="25.2">
      <c r="B27" s="46" t="s">
        <v>547</v>
      </c>
      <c r="C27" s="46" t="s">
        <v>548</v>
      </c>
      <c r="D27" s="46" t="s">
        <v>193</v>
      </c>
      <c r="E27" s="47">
        <v>1000</v>
      </c>
      <c r="F27" s="47"/>
      <c r="G27" s="46"/>
      <c r="H27" s="46"/>
      <c r="I27" s="47"/>
      <c r="J27" s="47"/>
      <c r="K27" s="47"/>
      <c r="L27" s="46" t="s">
        <v>549</v>
      </c>
      <c r="M27" s="46"/>
      <c r="N27" s="48" t="s">
        <v>569</v>
      </c>
      <c r="O27" s="49"/>
      <c r="P27" s="49"/>
      <c r="R27" s="162" t="s">
        <v>136</v>
      </c>
      <c r="S27" s="162" t="s">
        <v>136</v>
      </c>
      <c r="T27" s="159"/>
      <c r="V27" s="49"/>
      <c r="W27" s="49"/>
      <c r="X27" s="49"/>
      <c r="Y27" s="49"/>
      <c r="Z27" s="49"/>
    </row>
    <row r="28" spans="2:26">
      <c r="B28" s="46" t="s">
        <v>550</v>
      </c>
      <c r="C28" s="46" t="s">
        <v>551</v>
      </c>
      <c r="D28" s="46" t="s">
        <v>193</v>
      </c>
      <c r="E28" s="47">
        <v>100</v>
      </c>
      <c r="F28" s="47"/>
      <c r="G28" s="46"/>
      <c r="H28" s="46"/>
      <c r="I28" s="47"/>
      <c r="J28" s="47"/>
      <c r="K28" s="47"/>
      <c r="L28" s="46" t="s">
        <v>254</v>
      </c>
      <c r="M28" s="46"/>
      <c r="N28" s="49"/>
      <c r="O28" s="49"/>
      <c r="P28" s="49"/>
      <c r="R28" s="162" t="s">
        <v>136</v>
      </c>
      <c r="S28" s="162" t="s">
        <v>136</v>
      </c>
      <c r="T28" s="159"/>
      <c r="V28" s="49"/>
      <c r="W28" s="49"/>
      <c r="X28" s="49"/>
      <c r="Y28" s="49"/>
      <c r="Z28" s="49"/>
    </row>
    <row r="29" spans="2:26">
      <c r="B29" s="46" t="s">
        <v>552</v>
      </c>
      <c r="C29" s="46" t="s">
        <v>553</v>
      </c>
      <c r="D29" s="46" t="s">
        <v>193</v>
      </c>
      <c r="E29" s="47">
        <v>100</v>
      </c>
      <c r="F29" s="47"/>
      <c r="G29" s="46"/>
      <c r="H29" s="46"/>
      <c r="I29" s="47"/>
      <c r="J29" s="47"/>
      <c r="K29" s="47"/>
      <c r="L29" s="46" t="s">
        <v>254</v>
      </c>
      <c r="M29" s="46"/>
      <c r="N29" s="49"/>
      <c r="O29" s="48"/>
      <c r="P29" s="49"/>
      <c r="R29" s="162" t="s">
        <v>136</v>
      </c>
      <c r="S29" s="162" t="s">
        <v>136</v>
      </c>
      <c r="T29" s="159"/>
      <c r="V29" s="49"/>
      <c r="W29" s="49"/>
      <c r="X29" s="49"/>
      <c r="Y29" s="49"/>
      <c r="Z29" s="49"/>
    </row>
    <row r="30" spans="2:26">
      <c r="B30" s="46" t="s">
        <v>554</v>
      </c>
      <c r="C30" s="46" t="s">
        <v>555</v>
      </c>
      <c r="D30" s="46" t="s">
        <v>193</v>
      </c>
      <c r="E30" s="47">
        <v>100</v>
      </c>
      <c r="F30" s="47"/>
      <c r="G30" s="46"/>
      <c r="H30" s="46"/>
      <c r="I30" s="47"/>
      <c r="J30" s="47"/>
      <c r="K30" s="47"/>
      <c r="L30" s="46" t="s">
        <v>254</v>
      </c>
      <c r="M30" s="46"/>
      <c r="N30" s="48"/>
      <c r="O30" s="49"/>
      <c r="P30" s="49"/>
      <c r="R30" s="162" t="s">
        <v>136</v>
      </c>
      <c r="S30" s="162" t="s">
        <v>136</v>
      </c>
      <c r="T30" s="159"/>
      <c r="V30" s="49"/>
      <c r="W30" s="49"/>
      <c r="X30" s="49"/>
      <c r="Y30" s="49"/>
      <c r="Z30" s="49"/>
    </row>
    <row r="31" spans="2:26">
      <c r="B31" s="46" t="s">
        <v>556</v>
      </c>
      <c r="C31" s="46" t="s">
        <v>557</v>
      </c>
      <c r="D31" s="46" t="s">
        <v>193</v>
      </c>
      <c r="E31" s="47">
        <v>100</v>
      </c>
      <c r="F31" s="47"/>
      <c r="G31" s="46"/>
      <c r="H31" s="46"/>
      <c r="I31" s="47"/>
      <c r="J31" s="47"/>
      <c r="K31" s="47"/>
      <c r="L31" s="46" t="s">
        <v>254</v>
      </c>
      <c r="M31" s="46"/>
      <c r="N31" s="48"/>
      <c r="O31" s="49"/>
      <c r="P31" s="49"/>
      <c r="R31" s="162" t="s">
        <v>136</v>
      </c>
      <c r="S31" s="162" t="s">
        <v>136</v>
      </c>
      <c r="T31" s="159"/>
      <c r="V31" s="49"/>
      <c r="W31" s="49"/>
      <c r="X31" s="49"/>
      <c r="Y31" s="49"/>
      <c r="Z31" s="49"/>
    </row>
    <row r="32" spans="2:26">
      <c r="B32" s="46" t="s">
        <v>558</v>
      </c>
      <c r="C32" s="46" t="s">
        <v>559</v>
      </c>
      <c r="D32" s="46" t="s">
        <v>193</v>
      </c>
      <c r="E32" s="47">
        <v>100</v>
      </c>
      <c r="F32" s="47"/>
      <c r="G32" s="46"/>
      <c r="H32" s="46"/>
      <c r="I32" s="47"/>
      <c r="J32" s="47"/>
      <c r="K32" s="47"/>
      <c r="L32" s="46" t="s">
        <v>254</v>
      </c>
      <c r="M32" s="46"/>
      <c r="N32" s="48"/>
      <c r="O32" s="49"/>
      <c r="P32" s="49"/>
      <c r="R32" s="162" t="s">
        <v>136</v>
      </c>
      <c r="S32" s="162" t="s">
        <v>136</v>
      </c>
      <c r="T32" s="159"/>
      <c r="V32" s="49"/>
      <c r="W32" s="49"/>
      <c r="X32" s="49"/>
      <c r="Y32" s="49"/>
      <c r="Z32" s="49"/>
    </row>
    <row r="33" spans="2:26">
      <c r="B33" s="46" t="s">
        <v>560</v>
      </c>
      <c r="C33" s="46" t="s">
        <v>561</v>
      </c>
      <c r="D33" s="46" t="s">
        <v>13</v>
      </c>
      <c r="E33" s="47">
        <v>20</v>
      </c>
      <c r="F33" s="47"/>
      <c r="G33" s="46"/>
      <c r="H33" s="46"/>
      <c r="I33" s="47"/>
      <c r="J33" s="47"/>
      <c r="K33" s="47"/>
      <c r="L33" s="46" t="s">
        <v>289</v>
      </c>
      <c r="M33" s="46"/>
      <c r="N33" s="48"/>
      <c r="O33" s="49"/>
      <c r="P33" s="49"/>
      <c r="R33" s="162" t="s">
        <v>136</v>
      </c>
      <c r="S33" s="162" t="s">
        <v>136</v>
      </c>
      <c r="T33" s="159"/>
      <c r="V33" s="49"/>
      <c r="W33" s="49"/>
      <c r="X33" s="49"/>
      <c r="Y33" s="49"/>
      <c r="Z33" s="49"/>
    </row>
    <row r="34" spans="2:26">
      <c r="B34" s="46" t="s">
        <v>562</v>
      </c>
      <c r="C34" s="46" t="s">
        <v>563</v>
      </c>
      <c r="D34" s="46" t="s">
        <v>193</v>
      </c>
      <c r="E34" s="47">
        <v>100</v>
      </c>
      <c r="F34" s="47"/>
      <c r="G34" s="46"/>
      <c r="H34" s="46"/>
      <c r="I34" s="47"/>
      <c r="J34" s="47"/>
      <c r="K34" s="47"/>
      <c r="L34" s="46" t="s">
        <v>254</v>
      </c>
      <c r="M34" s="46"/>
      <c r="N34" s="48"/>
      <c r="O34" s="49"/>
      <c r="P34" s="49"/>
      <c r="R34" s="162" t="s">
        <v>136</v>
      </c>
      <c r="S34" s="162" t="s">
        <v>136</v>
      </c>
      <c r="T34" s="159"/>
      <c r="V34" s="49"/>
      <c r="W34" s="49"/>
      <c r="X34" s="49"/>
      <c r="Y34" s="49"/>
      <c r="Z34" s="49"/>
    </row>
    <row r="35" spans="2:26">
      <c r="B35" s="46" t="s">
        <v>252</v>
      </c>
      <c r="C35" s="46" t="s">
        <v>253</v>
      </c>
      <c r="D35" s="46" t="s">
        <v>193</v>
      </c>
      <c r="E35" s="47">
        <v>100</v>
      </c>
      <c r="F35" s="47"/>
      <c r="G35" s="54"/>
      <c r="H35" s="46"/>
      <c r="I35" s="47"/>
      <c r="J35" s="47"/>
      <c r="K35" s="47"/>
      <c r="L35" s="46" t="s">
        <v>254</v>
      </c>
      <c r="M35" s="46" t="s">
        <v>14</v>
      </c>
      <c r="N35" s="49"/>
      <c r="O35" s="49"/>
      <c r="P35" s="49"/>
      <c r="R35" s="162" t="s">
        <v>136</v>
      </c>
      <c r="S35" s="162" t="s">
        <v>136</v>
      </c>
      <c r="T35" s="159"/>
      <c r="V35" s="49"/>
      <c r="W35" s="49"/>
      <c r="X35" s="49"/>
      <c r="Y35" s="49"/>
      <c r="Z35" s="49"/>
    </row>
    <row r="36" spans="2:26">
      <c r="B36" s="46" t="s">
        <v>255</v>
      </c>
      <c r="C36" s="46" t="s">
        <v>256</v>
      </c>
      <c r="D36" s="46" t="s">
        <v>193</v>
      </c>
      <c r="E36" s="47">
        <v>100</v>
      </c>
      <c r="F36" s="47"/>
      <c r="G36" s="54"/>
      <c r="H36" s="46"/>
      <c r="I36" s="47"/>
      <c r="J36" s="47"/>
      <c r="K36" s="47"/>
      <c r="L36" s="46" t="s">
        <v>254</v>
      </c>
      <c r="M36" s="46" t="s">
        <v>14</v>
      </c>
      <c r="N36" s="49"/>
      <c r="O36" s="49"/>
      <c r="P36" s="49"/>
      <c r="R36" s="162" t="s">
        <v>136</v>
      </c>
      <c r="S36" s="162" t="s">
        <v>136</v>
      </c>
      <c r="T36" s="159"/>
      <c r="V36" s="49"/>
      <c r="W36" s="49"/>
      <c r="X36" s="49"/>
      <c r="Y36" s="49"/>
      <c r="Z36" s="49"/>
    </row>
    <row r="37" spans="2:26">
      <c r="B37" s="46" t="s">
        <v>257</v>
      </c>
      <c r="C37" s="46" t="s">
        <v>258</v>
      </c>
      <c r="D37" s="46" t="s">
        <v>193</v>
      </c>
      <c r="E37" s="47">
        <v>100</v>
      </c>
      <c r="F37" s="47"/>
      <c r="G37" s="46"/>
      <c r="H37" s="46"/>
      <c r="I37" s="47"/>
      <c r="J37" s="47"/>
      <c r="K37" s="47"/>
      <c r="L37" s="46" t="s">
        <v>254</v>
      </c>
      <c r="M37" s="46" t="s">
        <v>14</v>
      </c>
      <c r="N37" s="49"/>
      <c r="O37" s="49"/>
      <c r="P37" s="49"/>
      <c r="R37" s="162" t="s">
        <v>136</v>
      </c>
      <c r="S37" s="162" t="s">
        <v>136</v>
      </c>
      <c r="T37" s="159"/>
      <c r="V37" s="49"/>
      <c r="W37" s="49"/>
      <c r="X37" s="49"/>
      <c r="Y37" s="49"/>
      <c r="Z37" s="49"/>
    </row>
    <row r="38" spans="2:26" ht="75.599999999999994">
      <c r="B38" s="64" t="s">
        <v>65</v>
      </c>
      <c r="C38" s="64" t="s">
        <v>67</v>
      </c>
      <c r="D38" s="64" t="s">
        <v>47</v>
      </c>
      <c r="E38" s="65">
        <v>512</v>
      </c>
      <c r="F38" s="47"/>
      <c r="G38" s="46"/>
      <c r="H38" s="46"/>
      <c r="I38" s="47"/>
      <c r="J38" s="47"/>
      <c r="K38" s="47"/>
      <c r="L38" s="46" t="s">
        <v>611</v>
      </c>
      <c r="M38" s="46"/>
      <c r="N38" s="66" t="s">
        <v>612</v>
      </c>
      <c r="O38" s="49"/>
      <c r="P38" s="49" t="s">
        <v>642</v>
      </c>
      <c r="R38" s="162" t="s">
        <v>136</v>
      </c>
      <c r="S38" s="162" t="s">
        <v>136</v>
      </c>
      <c r="T38" s="159"/>
      <c r="V38" s="49"/>
      <c r="W38" s="49"/>
      <c r="X38" s="49"/>
      <c r="Y38" s="49"/>
      <c r="Z38" s="49"/>
    </row>
    <row r="39" spans="2:26">
      <c r="B39" s="64" t="s">
        <v>573</v>
      </c>
      <c r="C39" s="64" t="s">
        <v>575</v>
      </c>
      <c r="D39" s="64" t="s">
        <v>47</v>
      </c>
      <c r="E39" s="65">
        <v>100</v>
      </c>
      <c r="F39" s="47"/>
      <c r="G39" s="46"/>
      <c r="H39" s="46"/>
      <c r="I39" s="47"/>
      <c r="J39" s="47"/>
      <c r="K39" s="47"/>
      <c r="L39" s="46" t="s">
        <v>76</v>
      </c>
      <c r="M39" s="46"/>
      <c r="N39" s="64" t="s">
        <v>613</v>
      </c>
      <c r="O39" s="49"/>
      <c r="P39" s="49" t="s">
        <v>642</v>
      </c>
      <c r="R39" s="162" t="s">
        <v>136</v>
      </c>
      <c r="S39" s="162" t="s">
        <v>136</v>
      </c>
      <c r="T39" s="159"/>
      <c r="V39" s="49"/>
      <c r="W39" s="49"/>
      <c r="X39" s="49"/>
      <c r="Y39" s="49"/>
      <c r="Z39" s="49"/>
    </row>
    <row r="40" spans="2:26">
      <c r="B40" s="64" t="s">
        <v>573</v>
      </c>
      <c r="C40" s="64" t="s">
        <v>576</v>
      </c>
      <c r="D40" s="64" t="s">
        <v>47</v>
      </c>
      <c r="E40" s="65">
        <v>100</v>
      </c>
      <c r="F40" s="47"/>
      <c r="G40" s="46"/>
      <c r="H40" s="46"/>
      <c r="I40" s="47"/>
      <c r="J40" s="47"/>
      <c r="K40" s="47"/>
      <c r="L40" s="46" t="s">
        <v>76</v>
      </c>
      <c r="M40" s="46"/>
      <c r="N40" s="64" t="s">
        <v>614</v>
      </c>
      <c r="O40" s="49"/>
      <c r="P40" s="49" t="s">
        <v>642</v>
      </c>
      <c r="R40" s="162" t="s">
        <v>136</v>
      </c>
      <c r="S40" s="162" t="s">
        <v>136</v>
      </c>
      <c r="T40" s="159"/>
      <c r="V40" s="49"/>
      <c r="W40" s="49"/>
      <c r="X40" s="49"/>
      <c r="Y40" s="49"/>
      <c r="Z40" s="49"/>
    </row>
    <row r="41" spans="2:26">
      <c r="B41" s="64" t="s">
        <v>573</v>
      </c>
      <c r="C41" s="64" t="s">
        <v>577</v>
      </c>
      <c r="D41" s="64" t="s">
        <v>47</v>
      </c>
      <c r="E41" s="65">
        <v>100</v>
      </c>
      <c r="F41" s="47"/>
      <c r="G41" s="46"/>
      <c r="H41" s="46"/>
      <c r="I41" s="47"/>
      <c r="J41" s="47"/>
      <c r="K41" s="47"/>
      <c r="L41" s="46" t="s">
        <v>76</v>
      </c>
      <c r="M41" s="46"/>
      <c r="N41" s="64" t="s">
        <v>615</v>
      </c>
      <c r="O41" s="49"/>
      <c r="P41" s="49" t="s">
        <v>642</v>
      </c>
      <c r="R41" s="162" t="s">
        <v>136</v>
      </c>
      <c r="S41" s="162" t="s">
        <v>136</v>
      </c>
      <c r="T41" s="159"/>
      <c r="V41" s="49"/>
      <c r="W41" s="49"/>
      <c r="X41" s="49"/>
      <c r="Y41" s="49"/>
      <c r="Z41" s="49"/>
    </row>
    <row r="42" spans="2:26">
      <c r="B42" s="64" t="s">
        <v>573</v>
      </c>
      <c r="C42" s="64" t="s">
        <v>578</v>
      </c>
      <c r="D42" s="64" t="s">
        <v>47</v>
      </c>
      <c r="E42" s="65">
        <v>100</v>
      </c>
      <c r="F42" s="47"/>
      <c r="G42" s="46"/>
      <c r="H42" s="46"/>
      <c r="I42" s="47"/>
      <c r="J42" s="47"/>
      <c r="K42" s="47"/>
      <c r="L42" s="46" t="s">
        <v>76</v>
      </c>
      <c r="M42" s="46"/>
      <c r="N42" s="64" t="s">
        <v>595</v>
      </c>
      <c r="O42" s="49"/>
      <c r="P42" s="49" t="s">
        <v>642</v>
      </c>
      <c r="R42" s="162" t="s">
        <v>136</v>
      </c>
      <c r="S42" s="162" t="s">
        <v>136</v>
      </c>
      <c r="T42" s="159"/>
      <c r="V42" s="49"/>
      <c r="W42" s="49"/>
      <c r="X42" s="49"/>
      <c r="Y42" s="49"/>
      <c r="Z42" s="49"/>
    </row>
    <row r="43" spans="2:26">
      <c r="B43" s="64" t="s">
        <v>573</v>
      </c>
      <c r="C43" s="64" t="s">
        <v>579</v>
      </c>
      <c r="D43" s="64" t="s">
        <v>47</v>
      </c>
      <c r="E43" s="65">
        <v>100</v>
      </c>
      <c r="F43" s="47"/>
      <c r="G43" s="46"/>
      <c r="H43" s="46"/>
      <c r="I43" s="47"/>
      <c r="J43" s="47"/>
      <c r="K43" s="47"/>
      <c r="L43" s="46" t="s">
        <v>76</v>
      </c>
      <c r="M43" s="46"/>
      <c r="N43" s="64" t="s">
        <v>597</v>
      </c>
      <c r="O43" s="49"/>
      <c r="P43" s="49" t="s">
        <v>642</v>
      </c>
      <c r="R43" s="162" t="s">
        <v>136</v>
      </c>
      <c r="S43" s="162" t="s">
        <v>136</v>
      </c>
      <c r="T43" s="159"/>
      <c r="V43" s="49"/>
      <c r="W43" s="49"/>
      <c r="X43" s="49"/>
      <c r="Y43" s="49"/>
      <c r="Z43" s="49"/>
    </row>
    <row r="44" spans="2:26">
      <c r="B44" s="64" t="s">
        <v>573</v>
      </c>
      <c r="C44" s="64" t="s">
        <v>580</v>
      </c>
      <c r="D44" s="64" t="s">
        <v>47</v>
      </c>
      <c r="E44" s="65">
        <v>100</v>
      </c>
      <c r="F44" s="47"/>
      <c r="G44" s="46"/>
      <c r="H44" s="46"/>
      <c r="I44" s="47"/>
      <c r="J44" s="47"/>
      <c r="K44" s="47"/>
      <c r="L44" s="46" t="s">
        <v>76</v>
      </c>
      <c r="M44" s="46"/>
      <c r="N44" s="64" t="s">
        <v>599</v>
      </c>
      <c r="O44" s="49"/>
      <c r="P44" s="49" t="s">
        <v>642</v>
      </c>
      <c r="R44" s="162" t="s">
        <v>136</v>
      </c>
      <c r="S44" s="162" t="s">
        <v>136</v>
      </c>
      <c r="T44" s="159"/>
      <c r="V44" s="49"/>
      <c r="W44" s="49"/>
      <c r="X44" s="49"/>
      <c r="Y44" s="49"/>
      <c r="Z44" s="49"/>
    </row>
    <row r="45" spans="2:26">
      <c r="B45" s="64" t="s">
        <v>573</v>
      </c>
      <c r="C45" s="64" t="s">
        <v>581</v>
      </c>
      <c r="D45" s="64" t="s">
        <v>47</v>
      </c>
      <c r="E45" s="65">
        <v>100</v>
      </c>
      <c r="F45" s="47"/>
      <c r="G45" s="46"/>
      <c r="H45" s="46"/>
      <c r="I45" s="47"/>
      <c r="J45" s="47"/>
      <c r="K45" s="47"/>
      <c r="L45" s="46" t="s">
        <v>76</v>
      </c>
      <c r="M45" s="46"/>
      <c r="N45" s="64" t="s">
        <v>601</v>
      </c>
      <c r="O45" s="49"/>
      <c r="P45" s="49" t="s">
        <v>642</v>
      </c>
      <c r="R45" s="162" t="s">
        <v>136</v>
      </c>
      <c r="S45" s="162" t="s">
        <v>136</v>
      </c>
      <c r="T45" s="159"/>
      <c r="V45" s="49"/>
      <c r="W45" s="49"/>
      <c r="X45" s="49"/>
      <c r="Y45" s="49"/>
      <c r="Z45" s="49"/>
    </row>
    <row r="46" spans="2:26">
      <c r="B46" s="64" t="s">
        <v>573</v>
      </c>
      <c r="C46" s="64" t="s">
        <v>582</v>
      </c>
      <c r="D46" s="64" t="s">
        <v>47</v>
      </c>
      <c r="E46" s="65">
        <v>100</v>
      </c>
      <c r="F46" s="47"/>
      <c r="G46" s="46"/>
      <c r="H46" s="46"/>
      <c r="I46" s="47"/>
      <c r="J46" s="47"/>
      <c r="K46" s="47"/>
      <c r="L46" s="46" t="s">
        <v>76</v>
      </c>
      <c r="M46" s="46"/>
      <c r="N46" s="64" t="s">
        <v>603</v>
      </c>
      <c r="O46" s="49"/>
      <c r="P46" s="49" t="s">
        <v>642</v>
      </c>
      <c r="R46" s="162" t="s">
        <v>136</v>
      </c>
      <c r="S46" s="162" t="s">
        <v>136</v>
      </c>
      <c r="T46" s="159"/>
      <c r="V46" s="49"/>
      <c r="W46" s="49"/>
      <c r="X46" s="49"/>
      <c r="Y46" s="49"/>
      <c r="Z46" s="49"/>
    </row>
    <row r="47" spans="2:26">
      <c r="B47" s="64" t="s">
        <v>573</v>
      </c>
      <c r="C47" s="64" t="s">
        <v>583</v>
      </c>
      <c r="D47" s="64" t="s">
        <v>47</v>
      </c>
      <c r="E47" s="65">
        <v>100</v>
      </c>
      <c r="F47" s="47"/>
      <c r="G47" s="46"/>
      <c r="H47" s="46"/>
      <c r="I47" s="47"/>
      <c r="J47" s="47"/>
      <c r="K47" s="47"/>
      <c r="L47" s="46" t="s">
        <v>76</v>
      </c>
      <c r="M47" s="46"/>
      <c r="N47" s="64" t="s">
        <v>605</v>
      </c>
      <c r="O47" s="49"/>
      <c r="P47" s="49" t="s">
        <v>642</v>
      </c>
      <c r="R47" s="162" t="s">
        <v>136</v>
      </c>
      <c r="S47" s="162" t="s">
        <v>136</v>
      </c>
      <c r="T47" s="159"/>
      <c r="V47" s="49"/>
      <c r="W47" s="49"/>
      <c r="X47" s="49"/>
      <c r="Y47" s="49"/>
      <c r="Z47" s="49"/>
    </row>
    <row r="48" spans="2:26">
      <c r="B48" s="64" t="s">
        <v>573</v>
      </c>
      <c r="C48" s="64" t="s">
        <v>584</v>
      </c>
      <c r="D48" s="64" t="s">
        <v>47</v>
      </c>
      <c r="E48" s="65">
        <v>100</v>
      </c>
      <c r="F48" s="47"/>
      <c r="G48" s="46"/>
      <c r="H48" s="46"/>
      <c r="I48" s="47"/>
      <c r="J48" s="47"/>
      <c r="K48" s="47"/>
      <c r="L48" s="46" t="s">
        <v>76</v>
      </c>
      <c r="M48" s="46"/>
      <c r="N48" s="64" t="s">
        <v>607</v>
      </c>
      <c r="O48" s="49"/>
      <c r="P48" s="49" t="s">
        <v>642</v>
      </c>
      <c r="R48" s="162" t="s">
        <v>136</v>
      </c>
      <c r="S48" s="162" t="s">
        <v>136</v>
      </c>
      <c r="T48" s="159"/>
      <c r="V48" s="49"/>
      <c r="W48" s="49"/>
      <c r="X48" s="49"/>
      <c r="Y48" s="49"/>
      <c r="Z48" s="49"/>
    </row>
    <row r="49" spans="2:26">
      <c r="B49" s="64" t="s">
        <v>573</v>
      </c>
      <c r="C49" s="64" t="s">
        <v>585</v>
      </c>
      <c r="D49" s="64" t="s">
        <v>47</v>
      </c>
      <c r="E49" s="65">
        <v>100</v>
      </c>
      <c r="F49" s="47"/>
      <c r="G49" s="46"/>
      <c r="H49" s="46"/>
      <c r="I49" s="47"/>
      <c r="J49" s="47"/>
      <c r="K49" s="47"/>
      <c r="L49" s="46" t="s">
        <v>76</v>
      </c>
      <c r="M49" s="46"/>
      <c r="N49" s="64" t="s">
        <v>609</v>
      </c>
      <c r="O49" s="49"/>
      <c r="P49" s="49" t="s">
        <v>642</v>
      </c>
      <c r="R49" s="162" t="s">
        <v>136</v>
      </c>
      <c r="S49" s="162" t="s">
        <v>136</v>
      </c>
      <c r="T49" s="159"/>
      <c r="V49" s="49"/>
      <c r="W49" s="49"/>
      <c r="X49" s="49"/>
      <c r="Y49" s="49"/>
      <c r="Z49" s="49"/>
    </row>
    <row r="50" spans="2:26">
      <c r="B50" s="64" t="s">
        <v>573</v>
      </c>
      <c r="C50" s="64" t="s">
        <v>586</v>
      </c>
      <c r="D50" s="64" t="s">
        <v>47</v>
      </c>
      <c r="E50" s="65">
        <v>100</v>
      </c>
      <c r="F50" s="47"/>
      <c r="G50" s="46"/>
      <c r="H50" s="46"/>
      <c r="I50" s="47"/>
      <c r="J50" s="47"/>
      <c r="K50" s="47"/>
      <c r="L50" s="46" t="s">
        <v>76</v>
      </c>
      <c r="M50" s="46"/>
      <c r="N50" s="67" t="s">
        <v>574</v>
      </c>
      <c r="O50" s="49"/>
      <c r="P50" s="49" t="s">
        <v>642</v>
      </c>
      <c r="R50" s="162" t="s">
        <v>136</v>
      </c>
      <c r="S50" s="162" t="s">
        <v>136</v>
      </c>
      <c r="T50" s="159"/>
      <c r="V50" s="49"/>
      <c r="W50" s="49"/>
      <c r="X50" s="49"/>
      <c r="Y50" s="49"/>
      <c r="Z50" s="49"/>
    </row>
    <row r="51" spans="2:26">
      <c r="B51" s="64" t="s">
        <v>573</v>
      </c>
      <c r="C51" s="64" t="s">
        <v>587</v>
      </c>
      <c r="D51" s="64" t="s">
        <v>47</v>
      </c>
      <c r="E51" s="65">
        <v>100</v>
      </c>
      <c r="F51" s="47"/>
      <c r="G51" s="46"/>
      <c r="H51" s="46"/>
      <c r="I51" s="47"/>
      <c r="J51" s="47"/>
      <c r="K51" s="47"/>
      <c r="L51" s="46" t="s">
        <v>76</v>
      </c>
      <c r="M51" s="46"/>
      <c r="N51" s="67" t="s">
        <v>574</v>
      </c>
      <c r="O51" s="49"/>
      <c r="P51" s="49" t="s">
        <v>642</v>
      </c>
      <c r="R51" s="162" t="s">
        <v>136</v>
      </c>
      <c r="S51" s="162" t="s">
        <v>136</v>
      </c>
      <c r="T51" s="159"/>
      <c r="V51" s="49"/>
      <c r="W51" s="49"/>
      <c r="X51" s="49"/>
      <c r="Y51" s="49"/>
      <c r="Z51" s="49"/>
    </row>
    <row r="52" spans="2:26">
      <c r="B52" s="64" t="s">
        <v>573</v>
      </c>
      <c r="C52" s="64" t="s">
        <v>588</v>
      </c>
      <c r="D52" s="64" t="s">
        <v>47</v>
      </c>
      <c r="E52" s="65">
        <v>100</v>
      </c>
      <c r="F52" s="47"/>
      <c r="G52" s="46"/>
      <c r="H52" s="46"/>
      <c r="I52" s="47"/>
      <c r="J52" s="47"/>
      <c r="K52" s="47"/>
      <c r="L52" s="46" t="s">
        <v>76</v>
      </c>
      <c r="M52" s="46"/>
      <c r="N52" s="67" t="s">
        <v>574</v>
      </c>
      <c r="O52" s="49"/>
      <c r="P52" s="49" t="s">
        <v>642</v>
      </c>
      <c r="R52" s="162" t="s">
        <v>136</v>
      </c>
      <c r="S52" s="162" t="s">
        <v>136</v>
      </c>
      <c r="T52" s="159"/>
      <c r="V52" s="49"/>
      <c r="W52" s="49"/>
      <c r="X52" s="49"/>
      <c r="Y52" s="49"/>
      <c r="Z52" s="49"/>
    </row>
    <row r="53" spans="2:26">
      <c r="B53" s="64" t="s">
        <v>573</v>
      </c>
      <c r="C53" s="64" t="s">
        <v>589</v>
      </c>
      <c r="D53" s="64" t="s">
        <v>47</v>
      </c>
      <c r="E53" s="65">
        <v>100</v>
      </c>
      <c r="F53" s="47"/>
      <c r="G53" s="46"/>
      <c r="H53" s="46"/>
      <c r="I53" s="47"/>
      <c r="J53" s="47"/>
      <c r="K53" s="47"/>
      <c r="L53" s="46" t="s">
        <v>76</v>
      </c>
      <c r="M53" s="46"/>
      <c r="N53" s="67" t="s">
        <v>574</v>
      </c>
      <c r="O53" s="49"/>
      <c r="P53" s="49" t="s">
        <v>642</v>
      </c>
      <c r="R53" s="162" t="s">
        <v>136</v>
      </c>
      <c r="S53" s="162" t="s">
        <v>136</v>
      </c>
      <c r="T53" s="159"/>
      <c r="V53" s="49"/>
      <c r="W53" s="49"/>
      <c r="X53" s="49"/>
      <c r="Y53" s="49"/>
      <c r="Z53" s="49"/>
    </row>
    <row r="54" spans="2:26">
      <c r="B54" s="64" t="s">
        <v>573</v>
      </c>
      <c r="C54" s="64" t="s">
        <v>590</v>
      </c>
      <c r="D54" s="64" t="s">
        <v>47</v>
      </c>
      <c r="E54" s="65">
        <v>100</v>
      </c>
      <c r="F54" s="47"/>
      <c r="G54" s="46"/>
      <c r="H54" s="46"/>
      <c r="I54" s="47"/>
      <c r="J54" s="47"/>
      <c r="K54" s="47"/>
      <c r="L54" s="46" t="s">
        <v>76</v>
      </c>
      <c r="M54" s="46"/>
      <c r="N54" s="67" t="s">
        <v>574</v>
      </c>
      <c r="O54" s="49"/>
      <c r="P54" s="49" t="s">
        <v>642</v>
      </c>
      <c r="R54" s="162" t="s">
        <v>136</v>
      </c>
      <c r="S54" s="162" t="s">
        <v>136</v>
      </c>
      <c r="T54" s="159"/>
      <c r="V54" s="49"/>
      <c r="W54" s="49"/>
      <c r="X54" s="49"/>
      <c r="Y54" s="49"/>
      <c r="Z54" s="49"/>
    </row>
    <row r="55" spans="2:26">
      <c r="B55" s="64" t="s">
        <v>573</v>
      </c>
      <c r="C55" s="64" t="s">
        <v>591</v>
      </c>
      <c r="D55" s="64" t="s">
        <v>47</v>
      </c>
      <c r="E55" s="65">
        <v>100</v>
      </c>
      <c r="F55" s="47"/>
      <c r="G55" s="46"/>
      <c r="H55" s="46"/>
      <c r="I55" s="47"/>
      <c r="J55" s="47"/>
      <c r="K55" s="47"/>
      <c r="L55" s="46" t="s">
        <v>76</v>
      </c>
      <c r="M55" s="46"/>
      <c r="N55" s="67" t="s">
        <v>574</v>
      </c>
      <c r="O55" s="49"/>
      <c r="P55" s="49" t="s">
        <v>642</v>
      </c>
      <c r="R55" s="162" t="s">
        <v>136</v>
      </c>
      <c r="S55" s="162" t="s">
        <v>136</v>
      </c>
      <c r="T55" s="159"/>
      <c r="V55" s="49"/>
      <c r="W55" s="49"/>
      <c r="X55" s="49"/>
      <c r="Y55" s="49"/>
      <c r="Z55" s="49"/>
    </row>
    <row r="56" spans="2:26">
      <c r="B56" s="64" t="s">
        <v>573</v>
      </c>
      <c r="C56" s="64" t="s">
        <v>592</v>
      </c>
      <c r="D56" s="64" t="s">
        <v>47</v>
      </c>
      <c r="E56" s="65">
        <v>100</v>
      </c>
      <c r="F56" s="47"/>
      <c r="G56" s="46"/>
      <c r="H56" s="46"/>
      <c r="I56" s="47"/>
      <c r="J56" s="47"/>
      <c r="K56" s="47"/>
      <c r="L56" s="46" t="s">
        <v>76</v>
      </c>
      <c r="M56" s="46"/>
      <c r="N56" s="67" t="s">
        <v>574</v>
      </c>
      <c r="O56" s="49"/>
      <c r="P56" s="49" t="s">
        <v>642</v>
      </c>
      <c r="R56" s="162" t="s">
        <v>136</v>
      </c>
      <c r="S56" s="162" t="s">
        <v>136</v>
      </c>
      <c r="T56" s="159"/>
      <c r="V56" s="49"/>
      <c r="W56" s="49"/>
      <c r="X56" s="49"/>
      <c r="Y56" s="49"/>
      <c r="Z56" s="49"/>
    </row>
    <row r="57" spans="2:26">
      <c r="B57" s="64" t="s">
        <v>573</v>
      </c>
      <c r="C57" s="64" t="s">
        <v>593</v>
      </c>
      <c r="D57" s="64" t="s">
        <v>47</v>
      </c>
      <c r="E57" s="65">
        <v>100</v>
      </c>
      <c r="F57" s="47"/>
      <c r="G57" s="46"/>
      <c r="H57" s="46"/>
      <c r="I57" s="47"/>
      <c r="J57" s="47"/>
      <c r="K57" s="47"/>
      <c r="L57" s="46" t="s">
        <v>76</v>
      </c>
      <c r="M57" s="46"/>
      <c r="N57" s="67" t="s">
        <v>574</v>
      </c>
      <c r="O57" s="49"/>
      <c r="P57" s="49" t="s">
        <v>642</v>
      </c>
      <c r="R57" s="162" t="s">
        <v>136</v>
      </c>
      <c r="S57" s="162" t="s">
        <v>136</v>
      </c>
      <c r="T57" s="159"/>
      <c r="V57" s="49"/>
      <c r="W57" s="49"/>
      <c r="X57" s="49"/>
      <c r="Y57" s="49"/>
      <c r="Z57" s="49"/>
    </row>
    <row r="58" spans="2:26">
      <c r="B58" s="64" t="s">
        <v>573</v>
      </c>
      <c r="C58" s="64" t="s">
        <v>594</v>
      </c>
      <c r="D58" s="64" t="s">
        <v>47</v>
      </c>
      <c r="E58" s="65">
        <v>100</v>
      </c>
      <c r="F58" s="47"/>
      <c r="G58" s="46"/>
      <c r="H58" s="46"/>
      <c r="I58" s="47"/>
      <c r="J58" s="47"/>
      <c r="K58" s="47"/>
      <c r="L58" s="46" t="s">
        <v>76</v>
      </c>
      <c r="M58" s="46"/>
      <c r="N58" s="67" t="s">
        <v>574</v>
      </c>
      <c r="O58" s="49"/>
      <c r="P58" s="49" t="s">
        <v>642</v>
      </c>
      <c r="R58" s="162" t="s">
        <v>136</v>
      </c>
      <c r="S58" s="162" t="s">
        <v>136</v>
      </c>
      <c r="T58" s="159"/>
      <c r="V58" s="49"/>
      <c r="W58" s="49"/>
      <c r="X58" s="49"/>
      <c r="Y58" s="49"/>
      <c r="Z58" s="49"/>
    </row>
    <row r="59" spans="2:26">
      <c r="B59" s="46" t="s">
        <v>43</v>
      </c>
      <c r="C59" s="46" t="s">
        <v>16</v>
      </c>
      <c r="D59" s="46" t="s">
        <v>17</v>
      </c>
      <c r="E59" s="47">
        <v>8</v>
      </c>
      <c r="F59" s="47" t="s">
        <v>86</v>
      </c>
      <c r="G59" s="54" t="s">
        <v>135</v>
      </c>
      <c r="H59" s="46"/>
      <c r="I59" s="47"/>
      <c r="J59" s="47"/>
      <c r="K59" s="47"/>
      <c r="L59" s="46" t="s">
        <v>82</v>
      </c>
      <c r="M59" s="46" t="s">
        <v>14</v>
      </c>
      <c r="N59" s="49"/>
      <c r="O59" s="49"/>
      <c r="P59" s="49"/>
      <c r="R59" s="162" t="s">
        <v>136</v>
      </c>
      <c r="S59" s="162" t="s">
        <v>136</v>
      </c>
      <c r="T59" s="159"/>
      <c r="V59" s="49"/>
      <c r="W59" s="49"/>
      <c r="X59" s="49"/>
      <c r="Y59" s="49"/>
      <c r="Z59" s="49"/>
    </row>
    <row r="60" spans="2:26">
      <c r="B60" s="46" t="s">
        <v>44</v>
      </c>
      <c r="C60" s="46" t="s">
        <v>18</v>
      </c>
      <c r="D60" s="46" t="s">
        <v>17</v>
      </c>
      <c r="E60" s="47">
        <v>8</v>
      </c>
      <c r="F60" s="47" t="s">
        <v>86</v>
      </c>
      <c r="G60" s="54" t="s">
        <v>135</v>
      </c>
      <c r="H60" s="46"/>
      <c r="I60" s="47"/>
      <c r="J60" s="47"/>
      <c r="K60" s="47"/>
      <c r="L60" s="46" t="s">
        <v>82</v>
      </c>
      <c r="M60" s="46" t="s">
        <v>14</v>
      </c>
      <c r="N60" s="49"/>
      <c r="O60" s="49"/>
      <c r="P60" s="49"/>
      <c r="R60" s="162" t="s">
        <v>136</v>
      </c>
      <c r="S60" s="162" t="s">
        <v>136</v>
      </c>
      <c r="T60" s="159"/>
      <c r="V60" s="49"/>
      <c r="W60" s="49"/>
      <c r="X60" s="49"/>
      <c r="Y60" s="49"/>
      <c r="Z60" s="49"/>
    </row>
    <row r="61" spans="2:26">
      <c r="B61" s="46" t="s">
        <v>19</v>
      </c>
      <c r="C61" s="46" t="s">
        <v>20</v>
      </c>
      <c r="D61" s="46" t="s">
        <v>13</v>
      </c>
      <c r="E61" s="47">
        <v>40</v>
      </c>
      <c r="F61" s="47" t="s">
        <v>86</v>
      </c>
      <c r="G61" s="46"/>
      <c r="H61" s="46"/>
      <c r="I61" s="47"/>
      <c r="J61" s="47"/>
      <c r="K61" s="47"/>
      <c r="L61" s="46" t="s">
        <v>78</v>
      </c>
      <c r="M61" s="46" t="s">
        <v>14</v>
      </c>
      <c r="N61" s="49"/>
      <c r="O61" s="49"/>
      <c r="P61" s="49"/>
      <c r="R61" s="162" t="s">
        <v>136</v>
      </c>
      <c r="S61" s="162" t="s">
        <v>136</v>
      </c>
      <c r="T61" s="159"/>
      <c r="V61" s="49"/>
      <c r="W61" s="49"/>
      <c r="X61" s="49"/>
      <c r="Y61" s="49"/>
      <c r="Z61" s="49"/>
    </row>
    <row r="62" spans="2:26">
      <c r="B62" s="46" t="s">
        <v>21</v>
      </c>
      <c r="C62" s="46" t="s">
        <v>22</v>
      </c>
      <c r="D62" s="46" t="s">
        <v>13</v>
      </c>
      <c r="E62" s="47">
        <v>40</v>
      </c>
      <c r="F62" s="47" t="s">
        <v>86</v>
      </c>
      <c r="G62" s="46"/>
      <c r="H62" s="46"/>
      <c r="I62" s="47"/>
      <c r="J62" s="47"/>
      <c r="K62" s="47"/>
      <c r="L62" s="46" t="s">
        <v>78</v>
      </c>
      <c r="M62" s="46" t="s">
        <v>14</v>
      </c>
      <c r="N62" s="49"/>
      <c r="O62" s="49"/>
      <c r="P62" s="49"/>
      <c r="R62" s="162" t="s">
        <v>136</v>
      </c>
      <c r="S62" s="162" t="s">
        <v>136</v>
      </c>
      <c r="T62" s="159"/>
      <c r="V62" s="49"/>
      <c r="W62" s="49"/>
      <c r="X62" s="49"/>
      <c r="Y62" s="49"/>
      <c r="Z62" s="49"/>
    </row>
    <row r="63" spans="2:26" ht="25.2">
      <c r="B63" s="46" t="s">
        <v>45</v>
      </c>
      <c r="C63" s="46" t="s">
        <v>46</v>
      </c>
      <c r="D63" s="46" t="s">
        <v>13</v>
      </c>
      <c r="E63" s="47">
        <v>10</v>
      </c>
      <c r="F63" s="47" t="s">
        <v>86</v>
      </c>
      <c r="G63" s="46"/>
      <c r="H63" s="46"/>
      <c r="I63" s="47"/>
      <c r="J63" s="47"/>
      <c r="K63" s="47"/>
      <c r="L63" s="46" t="s">
        <v>83</v>
      </c>
      <c r="M63" s="46" t="s">
        <v>14</v>
      </c>
      <c r="N63" s="49" t="s">
        <v>62</v>
      </c>
      <c r="O63" s="48" t="s">
        <v>63</v>
      </c>
      <c r="P63" s="49"/>
      <c r="R63" s="162" t="s">
        <v>136</v>
      </c>
      <c r="S63" s="162" t="s">
        <v>136</v>
      </c>
      <c r="T63" s="159"/>
      <c r="V63" s="49"/>
      <c r="W63" s="49"/>
      <c r="X63" s="49"/>
      <c r="Y63" s="49"/>
      <c r="Z63" s="49"/>
    </row>
    <row r="64" spans="2:26">
      <c r="R64" s="44"/>
      <c r="S64" s="44"/>
      <c r="T64" s="44"/>
    </row>
    <row r="65" s="44" customFormat="1"/>
    <row r="66" s="44" customFormat="1"/>
    <row r="67" s="44" customFormat="1"/>
    <row r="68" s="44" customFormat="1"/>
    <row r="69" s="44" customFormat="1"/>
    <row r="70" s="44" customFormat="1"/>
    <row r="71" s="44" customFormat="1"/>
    <row r="72" s="44" customFormat="1"/>
    <row r="73" s="44" customFormat="1"/>
    <row r="74" s="44" customFormat="1"/>
    <row r="75" s="44" customFormat="1"/>
    <row r="76" s="44" customFormat="1"/>
    <row r="77" s="44" customFormat="1"/>
    <row r="78" s="44" customFormat="1"/>
    <row r="79" s="44" customFormat="1"/>
    <row r="80" s="44" customFormat="1"/>
    <row r="81" s="44" customFormat="1"/>
    <row r="82" s="44" customFormat="1"/>
    <row r="83" s="44" customFormat="1"/>
    <row r="84" s="44" customFormat="1"/>
    <row r="85" s="44" customFormat="1"/>
    <row r="86" s="44" customFormat="1"/>
    <row r="87" s="44" customFormat="1"/>
    <row r="88" s="44" customFormat="1"/>
    <row r="89" s="44" customFormat="1"/>
    <row r="90" s="44" customFormat="1"/>
    <row r="91" s="44" customFormat="1"/>
    <row r="92" s="44" customFormat="1"/>
    <row r="93" s="44" customFormat="1"/>
    <row r="94" s="44" customFormat="1"/>
    <row r="95" s="44" customFormat="1"/>
    <row r="96" s="44" customFormat="1"/>
    <row r="97" s="44" customFormat="1"/>
    <row r="98" s="44" customFormat="1"/>
    <row r="99" s="44" customFormat="1"/>
    <row r="100" s="44" customFormat="1"/>
    <row r="101" s="44" customFormat="1"/>
    <row r="102" s="44" customFormat="1"/>
    <row r="103" s="44" customFormat="1"/>
    <row r="104" s="44" customFormat="1"/>
    <row r="105" s="44" customFormat="1"/>
    <row r="106" s="44" customFormat="1"/>
    <row r="107" s="44" customFormat="1"/>
    <row r="108" s="44" customFormat="1"/>
    <row r="109" s="44" customFormat="1"/>
    <row r="110" s="44" customFormat="1"/>
    <row r="111" s="44" customFormat="1"/>
    <row r="112" s="44" customFormat="1"/>
    <row r="113" s="44" customFormat="1"/>
    <row r="114" s="44" customFormat="1"/>
    <row r="115" s="44" customFormat="1"/>
    <row r="116" s="44" customFormat="1"/>
    <row r="117" s="44" customFormat="1"/>
    <row r="118" s="44" customFormat="1"/>
    <row r="119" s="44" customFormat="1"/>
    <row r="120" s="44" customFormat="1"/>
    <row r="121" s="44" customFormat="1"/>
    <row r="122" s="44" customFormat="1"/>
    <row r="123" s="44" customFormat="1"/>
    <row r="124" s="44" customFormat="1"/>
    <row r="125" s="44" customFormat="1"/>
    <row r="126" s="44" customFormat="1"/>
    <row r="127" s="44" customFormat="1"/>
    <row r="128" s="44" customFormat="1"/>
    <row r="129" s="44" customFormat="1"/>
    <row r="130" s="44" customFormat="1"/>
    <row r="131" s="44" customFormat="1"/>
    <row r="132" s="44" customFormat="1"/>
    <row r="133" s="44" customFormat="1"/>
    <row r="134" s="44" customFormat="1"/>
    <row r="135" s="44" customFormat="1"/>
    <row r="136" s="44" customFormat="1"/>
    <row r="137" s="44" customFormat="1"/>
    <row r="138" s="44" customFormat="1"/>
  </sheetData>
  <mergeCells count="4">
    <mergeCell ref="D5:F5"/>
    <mergeCell ref="H5:P5"/>
    <mergeCell ref="D6:F6"/>
    <mergeCell ref="H6:P6"/>
  </mergeCells>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14C07-0319-4146-8413-E999F673FC5C}">
  <sheetPr codeName="Sheet13">
    <tabColor theme="7" tint="0.79998168889431442"/>
  </sheetPr>
  <dimension ref="A2:AC138"/>
  <sheetViews>
    <sheetView showGridLines="0" workbookViewId="0"/>
  </sheetViews>
  <sheetFormatPr defaultColWidth="8.90625" defaultRowHeight="15"/>
  <cols>
    <col min="1" max="1" width="2.54296875" style="29" customWidth="1"/>
    <col min="2" max="3" width="22.81640625" style="29" customWidth="1"/>
    <col min="4" max="4" width="7.1796875" style="29" bestFit="1" customWidth="1"/>
    <col min="5" max="5" width="5.1796875" style="29" customWidth="1"/>
    <col min="6" max="6" width="4.453125" style="29" customWidth="1"/>
    <col min="7" max="7" width="15.36328125" style="29" bestFit="1" customWidth="1"/>
    <col min="8" max="8" width="4.453125" style="29" customWidth="1"/>
    <col min="9" max="9" width="3.08984375" style="29" bestFit="1" customWidth="1"/>
    <col min="10" max="10" width="3.1796875" style="29" bestFit="1" customWidth="1"/>
    <col min="11" max="11" width="3" style="29" bestFit="1" customWidth="1"/>
    <col min="12" max="12" width="12" style="29" bestFit="1" customWidth="1"/>
    <col min="13" max="13" width="4.453125" style="29" customWidth="1"/>
    <col min="14" max="14" width="30.453125" style="29" customWidth="1"/>
    <col min="15" max="15" width="27.36328125" style="29" customWidth="1"/>
    <col min="16" max="16" width="33.36328125" style="29" customWidth="1"/>
    <col min="17" max="17" width="2.36328125" style="29" customWidth="1"/>
    <col min="18" max="19" width="6.54296875" customWidth="1"/>
    <col min="20" max="20" width="15.1796875" customWidth="1"/>
    <col min="21" max="21" width="6.54296875" style="29" customWidth="1"/>
    <col min="22" max="26" width="20.6328125" style="29" customWidth="1"/>
    <col min="27" max="16384" width="8.90625" style="29"/>
  </cols>
  <sheetData>
    <row r="2" spans="1:29">
      <c r="A2" s="127"/>
      <c r="B2" s="128" t="s">
        <v>38</v>
      </c>
      <c r="C2" s="127"/>
      <c r="D2" s="127"/>
      <c r="E2" s="127"/>
      <c r="F2" s="127"/>
      <c r="G2" s="127"/>
      <c r="H2" s="127"/>
      <c r="I2" s="127"/>
      <c r="J2" s="127"/>
      <c r="K2" s="127"/>
      <c r="L2" s="127"/>
      <c r="M2" s="127"/>
      <c r="N2" s="127"/>
      <c r="O2" s="127"/>
      <c r="P2" s="127"/>
      <c r="Q2" s="127"/>
      <c r="R2" s="6"/>
      <c r="S2" s="6"/>
      <c r="T2" s="6"/>
      <c r="U2" s="127"/>
      <c r="V2" s="127"/>
      <c r="W2" s="127"/>
      <c r="X2" s="127"/>
      <c r="Y2" s="127"/>
      <c r="Z2" s="127"/>
      <c r="AA2" s="127"/>
      <c r="AB2" s="127"/>
      <c r="AC2" s="127"/>
    </row>
    <row r="3" spans="1:29" ht="7.5" customHeight="1">
      <c r="A3" s="129"/>
      <c r="B3" s="129"/>
      <c r="C3" s="129"/>
      <c r="D3" s="129"/>
      <c r="E3" s="129"/>
      <c r="F3" s="129"/>
      <c r="G3" s="129"/>
      <c r="H3" s="129"/>
      <c r="I3" s="129"/>
      <c r="J3" s="129"/>
      <c r="K3" s="129"/>
      <c r="L3" s="129"/>
      <c r="M3" s="129"/>
      <c r="N3" s="129"/>
      <c r="O3" s="129"/>
      <c r="P3" s="129"/>
      <c r="Q3" s="129"/>
      <c r="R3" s="1"/>
      <c r="S3" s="1"/>
      <c r="T3" s="1"/>
      <c r="U3" s="129"/>
      <c r="V3" s="129"/>
      <c r="W3" s="129"/>
      <c r="X3" s="129"/>
      <c r="Y3" s="129"/>
      <c r="Z3" s="129"/>
      <c r="AA3" s="129"/>
      <c r="AB3" s="129"/>
      <c r="AC3" s="129"/>
    </row>
    <row r="5" spans="1:29">
      <c r="B5" s="111" t="s">
        <v>30</v>
      </c>
      <c r="C5" s="111" t="s">
        <v>31</v>
      </c>
      <c r="D5" s="276" t="s">
        <v>37</v>
      </c>
      <c r="E5" s="277"/>
      <c r="F5" s="278"/>
      <c r="G5" s="111" t="s">
        <v>74</v>
      </c>
      <c r="H5" s="276" t="s">
        <v>85</v>
      </c>
      <c r="I5" s="277"/>
      <c r="J5" s="277"/>
      <c r="K5" s="277"/>
      <c r="L5" s="277"/>
      <c r="M5" s="277"/>
      <c r="N5" s="277"/>
      <c r="O5" s="277"/>
      <c r="P5" s="278"/>
      <c r="R5" t="s">
        <v>1859</v>
      </c>
    </row>
    <row r="6" spans="1:29">
      <c r="B6" s="76" t="s">
        <v>1487</v>
      </c>
      <c r="C6" s="76" t="s">
        <v>1486</v>
      </c>
      <c r="D6" s="279" t="s">
        <v>93</v>
      </c>
      <c r="E6" s="280"/>
      <c r="F6" s="281"/>
      <c r="G6" s="130" t="s">
        <v>75</v>
      </c>
      <c r="H6" s="282" t="s">
        <v>1488</v>
      </c>
      <c r="I6" s="283"/>
      <c r="J6" s="283"/>
      <c r="K6" s="283"/>
      <c r="L6" s="283"/>
      <c r="M6" s="283"/>
      <c r="N6" s="283"/>
      <c r="O6" s="283"/>
      <c r="P6" s="284"/>
      <c r="R6" t="s">
        <v>1862</v>
      </c>
      <c r="V6" s="29" t="s">
        <v>109</v>
      </c>
    </row>
    <row r="7" spans="1:29">
      <c r="R7" t="s">
        <v>1863</v>
      </c>
    </row>
    <row r="8" spans="1:29">
      <c r="B8" s="111" t="s">
        <v>32</v>
      </c>
      <c r="C8" s="111" t="s">
        <v>33</v>
      </c>
      <c r="D8" s="111" t="s">
        <v>34</v>
      </c>
      <c r="E8" s="131" t="s">
        <v>10</v>
      </c>
      <c r="F8" s="132" t="s">
        <v>23</v>
      </c>
      <c r="G8" s="132" t="s">
        <v>24</v>
      </c>
      <c r="H8" s="132" t="s">
        <v>25</v>
      </c>
      <c r="I8" s="132" t="s">
        <v>26</v>
      </c>
      <c r="J8" s="132" t="s">
        <v>27</v>
      </c>
      <c r="K8" s="132" t="s">
        <v>28</v>
      </c>
      <c r="L8" s="132" t="s">
        <v>29</v>
      </c>
      <c r="M8" s="132" t="s">
        <v>11</v>
      </c>
      <c r="N8" s="111" t="s">
        <v>35</v>
      </c>
      <c r="O8" s="111" t="s">
        <v>36</v>
      </c>
      <c r="P8" s="111" t="s">
        <v>12</v>
      </c>
      <c r="R8" s="88" t="s">
        <v>1858</v>
      </c>
      <c r="S8" s="88" t="s">
        <v>1866</v>
      </c>
      <c r="T8" s="88" t="s">
        <v>155</v>
      </c>
      <c r="V8" s="111" t="s">
        <v>107</v>
      </c>
      <c r="W8" s="111" t="s">
        <v>107</v>
      </c>
      <c r="X8" s="111" t="s">
        <v>107</v>
      </c>
      <c r="Y8" s="111" t="s">
        <v>107</v>
      </c>
      <c r="Z8" s="111" t="s">
        <v>107</v>
      </c>
    </row>
    <row r="9" spans="1:29">
      <c r="B9" s="85" t="s">
        <v>644</v>
      </c>
      <c r="C9" s="85" t="s">
        <v>422</v>
      </c>
      <c r="D9" s="85" t="s">
        <v>64</v>
      </c>
      <c r="E9" s="84">
        <v>8</v>
      </c>
      <c r="F9" s="84" t="s">
        <v>14</v>
      </c>
      <c r="G9" s="85" t="s">
        <v>645</v>
      </c>
      <c r="H9" s="85"/>
      <c r="I9" s="84" t="s">
        <v>14</v>
      </c>
      <c r="J9" s="84"/>
      <c r="K9" s="84"/>
      <c r="L9" s="85"/>
      <c r="M9" s="85"/>
      <c r="N9" s="86" t="s">
        <v>842</v>
      </c>
      <c r="O9" s="87"/>
      <c r="P9" s="87"/>
      <c r="R9" s="162" t="s">
        <v>136</v>
      </c>
      <c r="S9" s="162" t="s">
        <v>136</v>
      </c>
      <c r="T9" s="159"/>
      <c r="V9" s="87"/>
      <c r="W9" s="87"/>
      <c r="X9" s="87"/>
      <c r="Y9" s="87"/>
      <c r="Z9" s="87"/>
    </row>
    <row r="10" spans="1:29">
      <c r="B10" s="85" t="s">
        <v>175</v>
      </c>
      <c r="C10" s="85" t="s">
        <v>176</v>
      </c>
      <c r="D10" s="85" t="s">
        <v>13</v>
      </c>
      <c r="E10" s="84">
        <v>40</v>
      </c>
      <c r="F10" s="84" t="s">
        <v>86</v>
      </c>
      <c r="G10" s="85"/>
      <c r="H10" s="85"/>
      <c r="I10" s="84"/>
      <c r="J10" s="84" t="s">
        <v>14</v>
      </c>
      <c r="K10" s="84"/>
      <c r="L10" s="85" t="s">
        <v>177</v>
      </c>
      <c r="M10" s="85"/>
      <c r="N10" s="87" t="s">
        <v>843</v>
      </c>
      <c r="O10" s="87"/>
      <c r="P10" s="87"/>
      <c r="R10" s="162" t="s">
        <v>136</v>
      </c>
      <c r="S10" s="162" t="s">
        <v>136</v>
      </c>
      <c r="T10" s="159"/>
      <c r="V10" s="87"/>
      <c r="W10" s="87"/>
      <c r="X10" s="87"/>
      <c r="Y10" s="87"/>
      <c r="Z10" s="87"/>
    </row>
    <row r="11" spans="1:29">
      <c r="B11" s="85" t="s">
        <v>1482</v>
      </c>
      <c r="C11" s="85" t="s">
        <v>1479</v>
      </c>
      <c r="D11" s="85" t="s">
        <v>47</v>
      </c>
      <c r="E11" s="84">
        <v>8</v>
      </c>
      <c r="F11" s="84" t="s">
        <v>86</v>
      </c>
      <c r="G11" s="85"/>
      <c r="H11" s="85"/>
      <c r="I11" s="84"/>
      <c r="J11" s="84"/>
      <c r="K11" s="84"/>
      <c r="L11" s="85" t="s">
        <v>82</v>
      </c>
      <c r="M11" s="85"/>
      <c r="N11" s="87"/>
      <c r="O11" s="87"/>
      <c r="P11" s="87"/>
      <c r="R11" s="162" t="s">
        <v>136</v>
      </c>
      <c r="S11" s="162" t="s">
        <v>136</v>
      </c>
      <c r="T11" s="159"/>
      <c r="V11" s="87"/>
      <c r="W11" s="87"/>
      <c r="X11" s="87"/>
      <c r="Y11" s="87"/>
      <c r="Z11" s="87"/>
    </row>
    <row r="12" spans="1:29">
      <c r="B12" s="85" t="s">
        <v>1483</v>
      </c>
      <c r="C12" s="85" t="s">
        <v>1480</v>
      </c>
      <c r="D12" s="85" t="s">
        <v>47</v>
      </c>
      <c r="E12" s="84">
        <v>14</v>
      </c>
      <c r="F12" s="84" t="s">
        <v>86</v>
      </c>
      <c r="G12" s="85"/>
      <c r="H12" s="85"/>
      <c r="I12" s="84"/>
      <c r="J12" s="84"/>
      <c r="K12" s="84"/>
      <c r="L12" s="85" t="s">
        <v>1140</v>
      </c>
      <c r="M12" s="85"/>
      <c r="N12" s="87"/>
      <c r="O12" s="87"/>
      <c r="P12" s="87"/>
      <c r="R12" s="162" t="s">
        <v>136</v>
      </c>
      <c r="S12" s="162" t="s">
        <v>136</v>
      </c>
      <c r="T12" s="159"/>
      <c r="V12" s="87"/>
      <c r="W12" s="87"/>
      <c r="X12" s="87"/>
      <c r="Y12" s="87"/>
      <c r="Z12" s="87"/>
    </row>
    <row r="13" spans="1:29">
      <c r="B13" s="85" t="s">
        <v>1484</v>
      </c>
      <c r="C13" s="85" t="s">
        <v>1481</v>
      </c>
      <c r="D13" s="85" t="s">
        <v>47</v>
      </c>
      <c r="E13" s="84">
        <v>8</v>
      </c>
      <c r="F13" s="84" t="s">
        <v>86</v>
      </c>
      <c r="G13" s="85"/>
      <c r="H13" s="85"/>
      <c r="I13" s="84"/>
      <c r="J13" s="84"/>
      <c r="K13" s="84"/>
      <c r="L13" s="85" t="s">
        <v>82</v>
      </c>
      <c r="M13" s="85"/>
      <c r="N13" s="87"/>
      <c r="O13" s="87"/>
      <c r="P13" s="87"/>
      <c r="R13" s="162" t="s">
        <v>136</v>
      </c>
      <c r="S13" s="162" t="s">
        <v>136</v>
      </c>
      <c r="T13" s="159"/>
      <c r="V13" s="87"/>
      <c r="W13" s="87"/>
      <c r="X13" s="87"/>
      <c r="Y13" s="87"/>
      <c r="Z13" s="87"/>
    </row>
    <row r="14" spans="1:29" ht="25.2">
      <c r="B14" s="85" t="s">
        <v>1490</v>
      </c>
      <c r="C14" s="85" t="s">
        <v>1489</v>
      </c>
      <c r="D14" s="85" t="s">
        <v>47</v>
      </c>
      <c r="E14" s="84" t="s">
        <v>48</v>
      </c>
      <c r="F14" s="84" t="s">
        <v>86</v>
      </c>
      <c r="G14" s="85"/>
      <c r="H14" s="85"/>
      <c r="I14" s="84"/>
      <c r="J14" s="84"/>
      <c r="K14" s="84"/>
      <c r="L14" s="85" t="s">
        <v>1502</v>
      </c>
      <c r="M14" s="85"/>
      <c r="N14" s="86" t="s">
        <v>1493</v>
      </c>
      <c r="O14" s="87"/>
      <c r="P14" s="87"/>
      <c r="R14" s="162" t="s">
        <v>136</v>
      </c>
      <c r="S14" s="162" t="s">
        <v>136</v>
      </c>
      <c r="T14" s="159"/>
      <c r="V14" s="87"/>
      <c r="W14" s="87"/>
      <c r="X14" s="87"/>
      <c r="Y14" s="87"/>
      <c r="Z14" s="87"/>
    </row>
    <row r="15" spans="1:29" ht="50.4">
      <c r="B15" s="85" t="s">
        <v>1491</v>
      </c>
      <c r="C15" s="85" t="s">
        <v>1492</v>
      </c>
      <c r="D15" s="85" t="s">
        <v>47</v>
      </c>
      <c r="E15" s="84">
        <v>32</v>
      </c>
      <c r="F15" s="84" t="s">
        <v>86</v>
      </c>
      <c r="G15" s="85"/>
      <c r="H15" s="85"/>
      <c r="I15" s="84"/>
      <c r="J15" s="84"/>
      <c r="K15" s="84"/>
      <c r="L15" s="85" t="s">
        <v>1501</v>
      </c>
      <c r="M15" s="85"/>
      <c r="N15" s="87" t="s">
        <v>1494</v>
      </c>
      <c r="O15" s="86" t="s">
        <v>1495</v>
      </c>
      <c r="P15" s="87"/>
      <c r="R15" s="162" t="s">
        <v>136</v>
      </c>
      <c r="S15" s="162" t="s">
        <v>136</v>
      </c>
      <c r="T15" s="159"/>
      <c r="V15" s="87"/>
      <c r="W15" s="87"/>
      <c r="X15" s="87"/>
      <c r="Y15" s="87"/>
      <c r="Z15" s="87"/>
    </row>
    <row r="16" spans="1:29">
      <c r="B16" s="85" t="s">
        <v>837</v>
      </c>
      <c r="C16" s="85" t="s">
        <v>16</v>
      </c>
      <c r="D16" s="85" t="s">
        <v>17</v>
      </c>
      <c r="E16" s="84">
        <v>8</v>
      </c>
      <c r="F16" s="84" t="s">
        <v>86</v>
      </c>
      <c r="G16" s="133" t="s">
        <v>135</v>
      </c>
      <c r="H16" s="85"/>
      <c r="I16" s="84"/>
      <c r="J16" s="84"/>
      <c r="K16" s="84"/>
      <c r="L16" s="85" t="s">
        <v>82</v>
      </c>
      <c r="M16" s="85"/>
      <c r="N16" s="87"/>
      <c r="O16" s="87"/>
      <c r="P16" s="87"/>
      <c r="R16" s="162" t="s">
        <v>136</v>
      </c>
      <c r="S16" s="162" t="s">
        <v>136</v>
      </c>
      <c r="T16" s="159"/>
      <c r="V16" s="87"/>
      <c r="W16" s="87"/>
      <c r="X16" s="87"/>
      <c r="Y16" s="87"/>
      <c r="Z16" s="87"/>
    </row>
    <row r="17" spans="2:26">
      <c r="B17" s="85" t="s">
        <v>838</v>
      </c>
      <c r="C17" s="85" t="s">
        <v>18</v>
      </c>
      <c r="D17" s="85" t="s">
        <v>17</v>
      </c>
      <c r="E17" s="84">
        <v>8</v>
      </c>
      <c r="F17" s="84" t="s">
        <v>86</v>
      </c>
      <c r="G17" s="133" t="s">
        <v>135</v>
      </c>
      <c r="H17" s="85"/>
      <c r="I17" s="84"/>
      <c r="J17" s="84"/>
      <c r="K17" s="84"/>
      <c r="L17" s="85" t="s">
        <v>82</v>
      </c>
      <c r="M17" s="85"/>
      <c r="N17" s="87"/>
      <c r="O17" s="87"/>
      <c r="P17" s="87"/>
      <c r="R17" s="162" t="s">
        <v>136</v>
      </c>
      <c r="S17" s="162" t="s">
        <v>136</v>
      </c>
      <c r="T17" s="159"/>
      <c r="V17" s="87"/>
      <c r="W17" s="87"/>
      <c r="X17" s="87"/>
      <c r="Y17" s="87"/>
      <c r="Z17" s="87"/>
    </row>
    <row r="18" spans="2:26">
      <c r="B18" s="85" t="s">
        <v>839</v>
      </c>
      <c r="C18" s="85" t="s">
        <v>20</v>
      </c>
      <c r="D18" s="85" t="s">
        <v>13</v>
      </c>
      <c r="E18" s="84">
        <v>40</v>
      </c>
      <c r="F18" s="84" t="s">
        <v>86</v>
      </c>
      <c r="G18" s="85"/>
      <c r="H18" s="85"/>
      <c r="I18" s="84"/>
      <c r="J18" s="84"/>
      <c r="K18" s="84"/>
      <c r="L18" s="85" t="s">
        <v>78</v>
      </c>
      <c r="M18" s="85"/>
      <c r="N18" s="87"/>
      <c r="O18" s="87"/>
      <c r="P18" s="87"/>
      <c r="R18" s="162" t="s">
        <v>136</v>
      </c>
      <c r="S18" s="162" t="s">
        <v>136</v>
      </c>
      <c r="T18" s="159"/>
      <c r="V18" s="87"/>
      <c r="W18" s="87"/>
      <c r="X18" s="87"/>
      <c r="Y18" s="87"/>
      <c r="Z18" s="87"/>
    </row>
    <row r="19" spans="2:26">
      <c r="B19" s="85" t="s">
        <v>840</v>
      </c>
      <c r="C19" s="85" t="s">
        <v>22</v>
      </c>
      <c r="D19" s="85" t="s">
        <v>13</v>
      </c>
      <c r="E19" s="84">
        <v>40</v>
      </c>
      <c r="F19" s="84" t="s">
        <v>86</v>
      </c>
      <c r="G19" s="85"/>
      <c r="H19" s="85"/>
      <c r="I19" s="84"/>
      <c r="J19" s="84"/>
      <c r="K19" s="84"/>
      <c r="L19" s="85" t="s">
        <v>78</v>
      </c>
      <c r="M19" s="85"/>
      <c r="N19" s="87"/>
      <c r="O19" s="87"/>
      <c r="P19" s="87"/>
      <c r="R19" s="162" t="s">
        <v>136</v>
      </c>
      <c r="S19" s="162" t="s">
        <v>136</v>
      </c>
      <c r="T19" s="159"/>
      <c r="V19" s="87"/>
      <c r="W19" s="87"/>
      <c r="X19" s="87"/>
      <c r="Y19" s="87"/>
      <c r="Z19" s="87"/>
    </row>
    <row r="20" spans="2:26" ht="25.2">
      <c r="B20" s="85" t="s">
        <v>841</v>
      </c>
      <c r="C20" s="85" t="s">
        <v>46</v>
      </c>
      <c r="D20" s="85" t="s">
        <v>13</v>
      </c>
      <c r="E20" s="84">
        <v>10</v>
      </c>
      <c r="F20" s="84" t="s">
        <v>86</v>
      </c>
      <c r="G20" s="85"/>
      <c r="H20" s="85"/>
      <c r="I20" s="84"/>
      <c r="J20" s="84"/>
      <c r="K20" s="84"/>
      <c r="L20" s="85" t="s">
        <v>83</v>
      </c>
      <c r="M20" s="85"/>
      <c r="N20" s="87" t="s">
        <v>62</v>
      </c>
      <c r="O20" s="86" t="s">
        <v>63</v>
      </c>
      <c r="P20" s="87"/>
      <c r="R20" s="162" t="s">
        <v>136</v>
      </c>
      <c r="S20" s="162" t="s">
        <v>136</v>
      </c>
      <c r="T20" s="159"/>
      <c r="V20" s="87"/>
      <c r="W20" s="87"/>
      <c r="X20" s="87"/>
      <c r="Y20" s="87"/>
      <c r="Z20" s="87"/>
    </row>
    <row r="21" spans="2:26">
      <c r="R21" s="29"/>
      <c r="S21" s="29"/>
      <c r="T21" s="29"/>
    </row>
    <row r="22" spans="2:26">
      <c r="R22" s="29"/>
      <c r="S22" s="29"/>
      <c r="T22" s="29"/>
    </row>
    <row r="23" spans="2:26">
      <c r="R23" s="29"/>
      <c r="S23" s="29"/>
      <c r="T23" s="29"/>
    </row>
    <row r="24" spans="2:26">
      <c r="R24" s="29"/>
      <c r="S24" s="29"/>
      <c r="T24" s="29"/>
    </row>
    <row r="25" spans="2:26">
      <c r="R25" s="29"/>
      <c r="S25" s="29"/>
      <c r="T25" s="29"/>
    </row>
    <row r="26" spans="2:26">
      <c r="R26" s="29"/>
      <c r="S26" s="29"/>
      <c r="T26" s="29"/>
    </row>
    <row r="27" spans="2:26">
      <c r="R27" s="29"/>
      <c r="S27" s="29"/>
      <c r="T27" s="29"/>
    </row>
    <row r="28" spans="2:26">
      <c r="R28" s="29"/>
      <c r="S28" s="29"/>
      <c r="T28" s="29"/>
    </row>
    <row r="29" spans="2:26">
      <c r="R29" s="29"/>
      <c r="S29" s="29"/>
      <c r="T29" s="29"/>
    </row>
    <row r="30" spans="2:26">
      <c r="R30" s="29"/>
      <c r="S30" s="29"/>
      <c r="T30" s="29"/>
    </row>
    <row r="31" spans="2:26">
      <c r="R31" s="29"/>
      <c r="S31" s="29"/>
      <c r="T31" s="29"/>
    </row>
    <row r="32" spans="2:26">
      <c r="R32" s="29"/>
      <c r="S32" s="29"/>
      <c r="T32" s="29"/>
    </row>
    <row r="33" s="29" customFormat="1"/>
    <row r="34" s="29" customFormat="1"/>
    <row r="35" s="29" customFormat="1"/>
    <row r="36" s="29" customFormat="1"/>
    <row r="37" s="29" customFormat="1"/>
    <row r="38" s="29" customFormat="1"/>
    <row r="39" s="29" customFormat="1"/>
    <row r="40" s="29" customFormat="1"/>
    <row r="41" s="29" customFormat="1"/>
    <row r="42" s="29" customFormat="1"/>
    <row r="43" s="29" customFormat="1"/>
    <row r="44" s="29" customFormat="1"/>
    <row r="45" s="29" customFormat="1"/>
    <row r="46" s="29" customFormat="1"/>
    <row r="47" s="29" customFormat="1"/>
    <row r="48" s="29" customFormat="1"/>
    <row r="49" s="29" customFormat="1"/>
    <row r="50" s="29" customFormat="1"/>
    <row r="51" s="29" customFormat="1"/>
    <row r="52" s="29" customFormat="1"/>
    <row r="53" s="29" customFormat="1"/>
    <row r="54" s="29" customFormat="1"/>
    <row r="55" s="29" customFormat="1"/>
    <row r="56" s="29" customFormat="1"/>
    <row r="57" s="29" customFormat="1"/>
    <row r="58" s="29" customFormat="1"/>
    <row r="59" s="29" customFormat="1"/>
    <row r="60" s="29" customFormat="1"/>
    <row r="61" s="29" customFormat="1"/>
    <row r="62" s="29" customFormat="1"/>
    <row r="63" s="29" customFormat="1"/>
    <row r="64" s="29" customFormat="1"/>
    <row r="65" spans="18:20">
      <c r="R65" s="44"/>
      <c r="S65" s="44"/>
      <c r="T65" s="44"/>
    </row>
    <row r="66" spans="18:20">
      <c r="R66" s="44"/>
      <c r="S66" s="44"/>
      <c r="T66" s="44"/>
    </row>
    <row r="67" spans="18:20">
      <c r="R67" s="44"/>
      <c r="S67" s="44"/>
      <c r="T67" s="44"/>
    </row>
    <row r="68" spans="18:20">
      <c r="R68" s="44"/>
      <c r="S68" s="44"/>
      <c r="T68" s="44"/>
    </row>
    <row r="69" spans="18:20">
      <c r="R69" s="44"/>
      <c r="S69" s="44"/>
      <c r="T69" s="44"/>
    </row>
    <row r="70" spans="18:20">
      <c r="R70" s="44"/>
      <c r="S70" s="44"/>
      <c r="T70" s="44"/>
    </row>
    <row r="71" spans="18:20">
      <c r="R71" s="44"/>
      <c r="S71" s="44"/>
      <c r="T71" s="44"/>
    </row>
    <row r="72" spans="18:20">
      <c r="R72" s="44"/>
      <c r="S72" s="44"/>
      <c r="T72" s="44"/>
    </row>
    <row r="73" spans="18:20">
      <c r="R73" s="44"/>
      <c r="S73" s="44"/>
      <c r="T73" s="44"/>
    </row>
    <row r="74" spans="18:20">
      <c r="R74" s="44"/>
      <c r="S74" s="44"/>
      <c r="T74" s="44"/>
    </row>
    <row r="75" spans="18:20">
      <c r="R75" s="44"/>
      <c r="S75" s="44"/>
      <c r="T75" s="44"/>
    </row>
    <row r="76" spans="18:20">
      <c r="R76" s="44"/>
      <c r="S76" s="44"/>
      <c r="T76" s="44"/>
    </row>
    <row r="77" spans="18:20">
      <c r="R77" s="44"/>
      <c r="S77" s="44"/>
      <c r="T77" s="44"/>
    </row>
    <row r="78" spans="18:20">
      <c r="R78" s="44"/>
      <c r="S78" s="44"/>
      <c r="T78" s="44"/>
    </row>
    <row r="79" spans="18:20">
      <c r="R79" s="44"/>
      <c r="S79" s="44"/>
      <c r="T79" s="44"/>
    </row>
    <row r="80" spans="18:20">
      <c r="R80" s="44"/>
      <c r="S80" s="44"/>
      <c r="T80" s="44"/>
    </row>
    <row r="81" spans="18:20">
      <c r="R81" s="44"/>
      <c r="S81" s="44"/>
      <c r="T81" s="44"/>
    </row>
    <row r="82" spans="18:20">
      <c r="R82" s="44"/>
      <c r="S82" s="44"/>
      <c r="T82" s="44"/>
    </row>
    <row r="83" spans="18:20">
      <c r="R83" s="44"/>
      <c r="S83" s="44"/>
      <c r="T83" s="44"/>
    </row>
    <row r="84" spans="18:20">
      <c r="R84" s="44"/>
      <c r="S84" s="44"/>
      <c r="T84" s="44"/>
    </row>
    <row r="85" spans="18:20">
      <c r="R85" s="44"/>
      <c r="S85" s="44"/>
      <c r="T85" s="44"/>
    </row>
    <row r="86" spans="18:20">
      <c r="R86" s="44"/>
      <c r="S86" s="44"/>
      <c r="T86" s="44"/>
    </row>
    <row r="87" spans="18:20">
      <c r="R87" s="44"/>
      <c r="S87" s="44"/>
      <c r="T87" s="44"/>
    </row>
    <row r="88" spans="18:20">
      <c r="R88" s="44"/>
      <c r="S88" s="44"/>
      <c r="T88" s="44"/>
    </row>
    <row r="89" spans="18:20">
      <c r="R89" s="44"/>
      <c r="S89" s="44"/>
      <c r="T89" s="44"/>
    </row>
    <row r="90" spans="18:20">
      <c r="R90" s="44"/>
      <c r="S90" s="44"/>
      <c r="T90" s="44"/>
    </row>
    <row r="91" spans="18:20">
      <c r="R91" s="44"/>
      <c r="S91" s="44"/>
      <c r="T91" s="44"/>
    </row>
    <row r="92" spans="18:20">
      <c r="R92" s="44"/>
      <c r="S92" s="44"/>
      <c r="T92" s="44"/>
    </row>
    <row r="93" spans="18:20">
      <c r="R93" s="44"/>
      <c r="S93" s="44"/>
      <c r="T93" s="44"/>
    </row>
    <row r="94" spans="18:20">
      <c r="R94" s="44"/>
      <c r="S94" s="44"/>
      <c r="T94" s="44"/>
    </row>
    <row r="95" spans="18:20">
      <c r="R95" s="44"/>
      <c r="S95" s="44"/>
      <c r="T95" s="44"/>
    </row>
    <row r="96" spans="18:20">
      <c r="R96" s="44"/>
      <c r="S96" s="44"/>
      <c r="T96" s="44"/>
    </row>
    <row r="97" spans="18:20">
      <c r="R97" s="44"/>
      <c r="S97" s="44"/>
      <c r="T97" s="44"/>
    </row>
    <row r="98" spans="18:20">
      <c r="R98" s="44"/>
      <c r="S98" s="44"/>
      <c r="T98" s="44"/>
    </row>
    <row r="99" spans="18:20">
      <c r="R99" s="44"/>
      <c r="S99" s="44"/>
      <c r="T99" s="44"/>
    </row>
    <row r="100" spans="18:20">
      <c r="R100" s="44"/>
      <c r="S100" s="44"/>
      <c r="T100" s="44"/>
    </row>
    <row r="101" spans="18:20">
      <c r="R101" s="44"/>
      <c r="S101" s="44"/>
      <c r="T101" s="44"/>
    </row>
    <row r="102" spans="18:20">
      <c r="R102" s="44"/>
      <c r="S102" s="44"/>
      <c r="T102" s="44"/>
    </row>
    <row r="103" spans="18:20">
      <c r="R103" s="44"/>
      <c r="S103" s="44"/>
      <c r="T103" s="44"/>
    </row>
    <row r="104" spans="18:20">
      <c r="R104" s="44"/>
      <c r="S104" s="44"/>
      <c r="T104" s="44"/>
    </row>
    <row r="105" spans="18:20">
      <c r="R105" s="44"/>
      <c r="S105" s="44"/>
      <c r="T105" s="44"/>
    </row>
    <row r="106" spans="18:20">
      <c r="R106" s="44"/>
      <c r="S106" s="44"/>
      <c r="T106" s="44"/>
    </row>
    <row r="107" spans="18:20">
      <c r="R107" s="44"/>
      <c r="S107" s="44"/>
      <c r="T107" s="44"/>
    </row>
    <row r="108" spans="18:20">
      <c r="R108" s="44"/>
      <c r="S108" s="44"/>
      <c r="T108" s="44"/>
    </row>
    <row r="109" spans="18:20">
      <c r="R109" s="44"/>
      <c r="S109" s="44"/>
      <c r="T109" s="44"/>
    </row>
    <row r="110" spans="18:20">
      <c r="R110" s="44"/>
      <c r="S110" s="44"/>
      <c r="T110" s="44"/>
    </row>
    <row r="111" spans="18:20">
      <c r="R111" s="44"/>
      <c r="S111" s="44"/>
      <c r="T111" s="44"/>
    </row>
    <row r="112" spans="18:20">
      <c r="R112" s="44"/>
      <c r="S112" s="44"/>
      <c r="T112" s="44"/>
    </row>
    <row r="113" spans="18:20">
      <c r="R113" s="44"/>
      <c r="S113" s="44"/>
      <c r="T113" s="44"/>
    </row>
    <row r="114" spans="18:20">
      <c r="R114" s="44"/>
      <c r="S114" s="44"/>
      <c r="T114" s="44"/>
    </row>
    <row r="115" spans="18:20">
      <c r="R115" s="44"/>
      <c r="S115" s="44"/>
      <c r="T115" s="44"/>
    </row>
    <row r="116" spans="18:20">
      <c r="R116" s="44"/>
      <c r="S116" s="44"/>
      <c r="T116" s="44"/>
    </row>
    <row r="117" spans="18:20">
      <c r="R117" s="44"/>
      <c r="S117" s="44"/>
      <c r="T117" s="44"/>
    </row>
    <row r="118" spans="18:20">
      <c r="R118" s="44"/>
      <c r="S118" s="44"/>
      <c r="T118" s="44"/>
    </row>
    <row r="119" spans="18:20">
      <c r="R119" s="44"/>
      <c r="S119" s="44"/>
      <c r="T119" s="44"/>
    </row>
    <row r="120" spans="18:20">
      <c r="R120" s="44"/>
      <c r="S120" s="44"/>
      <c r="T120" s="44"/>
    </row>
    <row r="121" spans="18:20">
      <c r="R121" s="44"/>
      <c r="S121" s="44"/>
      <c r="T121" s="44"/>
    </row>
    <row r="122" spans="18:20">
      <c r="R122" s="44"/>
      <c r="S122" s="44"/>
      <c r="T122" s="44"/>
    </row>
    <row r="123" spans="18:20">
      <c r="R123" s="44"/>
      <c r="S123" s="44"/>
      <c r="T123" s="44"/>
    </row>
    <row r="124" spans="18:20">
      <c r="R124" s="44"/>
      <c r="S124" s="44"/>
      <c r="T124" s="44"/>
    </row>
    <row r="125" spans="18:20">
      <c r="R125" s="44"/>
      <c r="S125" s="44"/>
      <c r="T125" s="44"/>
    </row>
    <row r="126" spans="18:20">
      <c r="R126" s="44"/>
      <c r="S126" s="44"/>
      <c r="T126" s="44"/>
    </row>
    <row r="127" spans="18:20">
      <c r="R127" s="44"/>
      <c r="S127" s="44"/>
      <c r="T127" s="44"/>
    </row>
    <row r="128" spans="18:20">
      <c r="R128" s="44"/>
      <c r="S128" s="44"/>
      <c r="T128" s="44"/>
    </row>
    <row r="129" spans="18:20">
      <c r="R129" s="44"/>
      <c r="S129" s="44"/>
      <c r="T129" s="44"/>
    </row>
    <row r="130" spans="18:20">
      <c r="R130" s="44"/>
      <c r="S130" s="44"/>
      <c r="T130" s="44"/>
    </row>
    <row r="131" spans="18:20">
      <c r="R131" s="44"/>
      <c r="S131" s="44"/>
      <c r="T131" s="44"/>
    </row>
    <row r="132" spans="18:20">
      <c r="R132" s="44"/>
      <c r="S132" s="44"/>
      <c r="T132" s="44"/>
    </row>
    <row r="133" spans="18:20">
      <c r="R133" s="44"/>
      <c r="S133" s="44"/>
      <c r="T133" s="44"/>
    </row>
    <row r="134" spans="18:20">
      <c r="R134" s="44"/>
      <c r="S134" s="44"/>
      <c r="T134" s="44"/>
    </row>
    <row r="135" spans="18:20">
      <c r="R135" s="44"/>
      <c r="S135" s="44"/>
      <c r="T135" s="44"/>
    </row>
    <row r="136" spans="18:20">
      <c r="R136" s="44"/>
      <c r="S136" s="44"/>
      <c r="T136" s="44"/>
    </row>
    <row r="137" spans="18:20">
      <c r="R137" s="44"/>
      <c r="S137" s="44"/>
      <c r="T137" s="44"/>
    </row>
    <row r="138" spans="18:20">
      <c r="R138" s="44"/>
      <c r="S138" s="44"/>
      <c r="T138" s="44"/>
    </row>
  </sheetData>
  <mergeCells count="4">
    <mergeCell ref="D5:F5"/>
    <mergeCell ref="H5:P5"/>
    <mergeCell ref="D6:F6"/>
    <mergeCell ref="H6:P6"/>
  </mergeCells>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EA89F-69D3-4524-BD6B-61CAB9FCC413}">
  <sheetPr codeName="Sheet16">
    <tabColor theme="7" tint="0.79998168889431442"/>
  </sheetPr>
  <dimension ref="A2:AC138"/>
  <sheetViews>
    <sheetView showGridLines="0" workbookViewId="0"/>
  </sheetViews>
  <sheetFormatPr defaultRowHeight="15"/>
  <cols>
    <col min="1" max="1" width="2.54296875" customWidth="1"/>
    <col min="2" max="3" width="22.81640625" customWidth="1"/>
    <col min="4" max="4" width="7.1796875" bestFit="1" customWidth="1"/>
    <col min="5" max="5" width="5.1796875" customWidth="1"/>
    <col min="6" max="6" width="4.453125" customWidth="1"/>
    <col min="7" max="7" width="15.36328125" bestFit="1" customWidth="1"/>
    <col min="8" max="8" width="4.453125" customWidth="1"/>
    <col min="9" max="9" width="3.08984375" bestFit="1" customWidth="1"/>
    <col min="10" max="10" width="3.1796875" bestFit="1" customWidth="1"/>
    <col min="11" max="11" width="3" bestFit="1" customWidth="1"/>
    <col min="12" max="12" width="12" bestFit="1" customWidth="1"/>
    <col min="13" max="13" width="4.453125" customWidth="1"/>
    <col min="14" max="14" width="30.453125" customWidth="1"/>
    <col min="15" max="15" width="27.36328125" customWidth="1"/>
    <col min="16" max="16" width="33.36328125" customWidth="1"/>
    <col min="17" max="17" width="2.36328125" customWidth="1"/>
    <col min="18" max="19" width="6.54296875" customWidth="1"/>
    <col min="20" max="20" width="15.1796875" customWidth="1"/>
    <col min="21" max="21" width="6.54296875" customWidth="1"/>
    <col min="22" max="26" width="20.6328125" customWidth="1"/>
  </cols>
  <sheetData>
    <row r="2" spans="1:29">
      <c r="A2" s="6"/>
      <c r="B2" s="7" t="s">
        <v>38</v>
      </c>
      <c r="C2" s="6"/>
      <c r="D2" s="6"/>
      <c r="E2" s="6"/>
      <c r="F2" s="6"/>
      <c r="G2" s="6"/>
      <c r="H2" s="6"/>
      <c r="I2" s="6"/>
      <c r="J2" s="6"/>
      <c r="K2" s="6"/>
      <c r="L2" s="6"/>
      <c r="M2" s="6"/>
      <c r="N2" s="6"/>
      <c r="O2" s="6"/>
      <c r="P2" s="6"/>
      <c r="Q2" s="6"/>
      <c r="R2" s="6"/>
      <c r="S2" s="6"/>
      <c r="T2" s="6"/>
      <c r="U2" s="6"/>
      <c r="V2" s="6"/>
      <c r="W2" s="6"/>
      <c r="X2" s="6"/>
      <c r="Y2" s="6"/>
      <c r="Z2" s="6"/>
      <c r="AA2" s="6"/>
      <c r="AB2" s="6"/>
      <c r="AC2" s="6"/>
    </row>
    <row r="3" spans="1:29" ht="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5" spans="1:29">
      <c r="B5" s="8" t="s">
        <v>30</v>
      </c>
      <c r="C5" s="8" t="s">
        <v>31</v>
      </c>
      <c r="D5" s="234" t="s">
        <v>37</v>
      </c>
      <c r="E5" s="235"/>
      <c r="F5" s="236"/>
      <c r="G5" s="8" t="s">
        <v>74</v>
      </c>
      <c r="H5" s="234" t="s">
        <v>85</v>
      </c>
      <c r="I5" s="235"/>
      <c r="J5" s="235"/>
      <c r="K5" s="235"/>
      <c r="L5" s="235"/>
      <c r="M5" s="235"/>
      <c r="N5" s="235"/>
      <c r="O5" s="235"/>
      <c r="P5" s="236"/>
      <c r="R5" t="s">
        <v>1859</v>
      </c>
    </row>
    <row r="6" spans="1:29">
      <c r="B6" s="30" t="s">
        <v>862</v>
      </c>
      <c r="C6" s="30" t="s">
        <v>98</v>
      </c>
      <c r="D6" s="237" t="s">
        <v>93</v>
      </c>
      <c r="E6" s="238"/>
      <c r="F6" s="239"/>
      <c r="G6" s="45" t="s">
        <v>75</v>
      </c>
      <c r="H6" s="240"/>
      <c r="I6" s="241"/>
      <c r="J6" s="241"/>
      <c r="K6" s="241"/>
      <c r="L6" s="241"/>
      <c r="M6" s="241"/>
      <c r="N6" s="241"/>
      <c r="O6" s="241"/>
      <c r="P6" s="242"/>
      <c r="R6" t="s">
        <v>1862</v>
      </c>
      <c r="V6" t="s">
        <v>109</v>
      </c>
    </row>
    <row r="7" spans="1:29">
      <c r="R7" t="s">
        <v>1863</v>
      </c>
    </row>
    <row r="8" spans="1:29">
      <c r="B8" s="8" t="s">
        <v>32</v>
      </c>
      <c r="C8" s="8" t="s">
        <v>33</v>
      </c>
      <c r="D8" s="8" t="s">
        <v>34</v>
      </c>
      <c r="E8" s="13" t="s">
        <v>10</v>
      </c>
      <c r="F8" s="9" t="s">
        <v>23</v>
      </c>
      <c r="G8" s="9" t="s">
        <v>24</v>
      </c>
      <c r="H8" s="9" t="s">
        <v>25</v>
      </c>
      <c r="I8" s="9" t="s">
        <v>26</v>
      </c>
      <c r="J8" s="9" t="s">
        <v>27</v>
      </c>
      <c r="K8" s="9" t="s">
        <v>28</v>
      </c>
      <c r="L8" s="9" t="s">
        <v>29</v>
      </c>
      <c r="M8" s="9" t="s">
        <v>11</v>
      </c>
      <c r="N8" s="8" t="s">
        <v>35</v>
      </c>
      <c r="O8" s="8" t="s">
        <v>36</v>
      </c>
      <c r="P8" s="8" t="s">
        <v>12</v>
      </c>
      <c r="R8" s="88" t="s">
        <v>1858</v>
      </c>
      <c r="S8" s="88" t="s">
        <v>1866</v>
      </c>
      <c r="T8" s="88" t="s">
        <v>155</v>
      </c>
      <c r="V8" s="8" t="s">
        <v>107</v>
      </c>
      <c r="W8" s="8" t="s">
        <v>107</v>
      </c>
      <c r="X8" s="8" t="s">
        <v>107</v>
      </c>
      <c r="Y8" s="8" t="s">
        <v>107</v>
      </c>
      <c r="Z8" s="8" t="s">
        <v>107</v>
      </c>
    </row>
    <row r="9" spans="1:29">
      <c r="B9" s="46" t="s">
        <v>863</v>
      </c>
      <c r="C9" s="46" t="s">
        <v>422</v>
      </c>
      <c r="D9" s="46" t="s">
        <v>64</v>
      </c>
      <c r="E9" s="47">
        <v>8</v>
      </c>
      <c r="F9" s="47"/>
      <c r="G9" s="46"/>
      <c r="H9" s="46"/>
      <c r="I9" s="47" t="s">
        <v>14</v>
      </c>
      <c r="J9" s="47"/>
      <c r="K9" s="47"/>
      <c r="L9" s="46"/>
      <c r="M9" s="46"/>
      <c r="N9" s="48" t="s">
        <v>864</v>
      </c>
      <c r="O9" s="49"/>
      <c r="P9" s="49"/>
      <c r="Q9" s="44"/>
      <c r="R9" s="162" t="s">
        <v>136</v>
      </c>
      <c r="S9" s="162" t="s">
        <v>136</v>
      </c>
      <c r="T9" s="159"/>
      <c r="U9" s="44"/>
      <c r="V9" s="49"/>
      <c r="W9" s="49"/>
      <c r="X9" s="49"/>
      <c r="Y9" s="49"/>
      <c r="Z9" s="49"/>
    </row>
    <row r="10" spans="1:29">
      <c r="B10" s="46" t="s">
        <v>175</v>
      </c>
      <c r="C10" s="46" t="s">
        <v>176</v>
      </c>
      <c r="D10" s="46" t="s">
        <v>13</v>
      </c>
      <c r="E10" s="47">
        <v>40</v>
      </c>
      <c r="F10" s="47"/>
      <c r="G10" s="46"/>
      <c r="H10" s="46"/>
      <c r="I10" s="47"/>
      <c r="J10" s="47" t="s">
        <v>14</v>
      </c>
      <c r="K10" s="47"/>
      <c r="L10" s="46"/>
      <c r="M10" s="46"/>
      <c r="N10" s="49" t="s">
        <v>911</v>
      </c>
      <c r="O10" s="49"/>
      <c r="P10" s="49"/>
      <c r="Q10" s="44"/>
      <c r="R10" s="162" t="s">
        <v>136</v>
      </c>
      <c r="S10" s="162" t="s">
        <v>136</v>
      </c>
      <c r="T10" s="159"/>
      <c r="U10" s="44"/>
      <c r="V10" s="49"/>
      <c r="W10" s="49"/>
      <c r="X10" s="49"/>
      <c r="Y10" s="49"/>
      <c r="Z10" s="49"/>
    </row>
    <row r="11" spans="1:29" ht="50.4">
      <c r="B11" s="46" t="s">
        <v>865</v>
      </c>
      <c r="C11" s="46" t="s">
        <v>866</v>
      </c>
      <c r="D11" s="46" t="s">
        <v>13</v>
      </c>
      <c r="E11" s="47">
        <v>50</v>
      </c>
      <c r="F11" s="47"/>
      <c r="G11" s="46"/>
      <c r="H11" s="46"/>
      <c r="I11" s="47"/>
      <c r="J11" s="47"/>
      <c r="K11" s="47"/>
      <c r="L11" s="46"/>
      <c r="M11" s="46"/>
      <c r="N11" s="48" t="s">
        <v>912</v>
      </c>
      <c r="O11" s="49"/>
      <c r="P11" s="49"/>
      <c r="Q11" s="44"/>
      <c r="R11" s="162" t="s">
        <v>136</v>
      </c>
      <c r="S11" s="162" t="s">
        <v>136</v>
      </c>
      <c r="T11" s="159"/>
      <c r="U11" s="44"/>
      <c r="V11" s="49"/>
      <c r="W11" s="49"/>
      <c r="X11" s="49"/>
      <c r="Y11" s="49"/>
      <c r="Z11" s="49"/>
    </row>
    <row r="12" spans="1:29" ht="37.799999999999997">
      <c r="B12" s="46" t="s">
        <v>867</v>
      </c>
      <c r="C12" s="46" t="s">
        <v>868</v>
      </c>
      <c r="D12" s="46" t="s">
        <v>13</v>
      </c>
      <c r="E12" s="47">
        <v>40</v>
      </c>
      <c r="F12" s="47"/>
      <c r="G12" s="46"/>
      <c r="H12" s="46"/>
      <c r="I12" s="47"/>
      <c r="J12" s="47"/>
      <c r="K12" s="47"/>
      <c r="L12" s="46"/>
      <c r="M12" s="46"/>
      <c r="N12" s="48" t="s">
        <v>913</v>
      </c>
      <c r="O12" s="49"/>
      <c r="P12" s="49"/>
      <c r="Q12" s="44"/>
      <c r="R12" s="162" t="s">
        <v>136</v>
      </c>
      <c r="S12" s="162" t="s">
        <v>136</v>
      </c>
      <c r="T12" s="159"/>
      <c r="U12" s="44"/>
      <c r="V12" s="49"/>
      <c r="W12" s="49"/>
      <c r="X12" s="49"/>
      <c r="Y12" s="49"/>
      <c r="Z12" s="49"/>
    </row>
    <row r="13" spans="1:29" ht="37.799999999999997">
      <c r="B13" s="46" t="s">
        <v>869</v>
      </c>
      <c r="C13" s="46" t="s">
        <v>870</v>
      </c>
      <c r="D13" s="46" t="s">
        <v>13</v>
      </c>
      <c r="E13" s="47">
        <v>16</v>
      </c>
      <c r="F13" s="47"/>
      <c r="G13" s="46"/>
      <c r="H13" s="46"/>
      <c r="I13" s="47"/>
      <c r="J13" s="47"/>
      <c r="K13" s="47"/>
      <c r="L13" s="46"/>
      <c r="M13" s="46"/>
      <c r="N13" s="48" t="s">
        <v>914</v>
      </c>
      <c r="O13" s="49"/>
      <c r="P13" s="49"/>
      <c r="Q13" s="44"/>
      <c r="R13" s="162" t="s">
        <v>136</v>
      </c>
      <c r="S13" s="162" t="s">
        <v>136</v>
      </c>
      <c r="T13" s="159"/>
      <c r="U13" s="44"/>
      <c r="V13" s="49"/>
      <c r="W13" s="49"/>
      <c r="X13" s="49"/>
      <c r="Y13" s="49"/>
      <c r="Z13" s="49"/>
    </row>
    <row r="14" spans="1:29" ht="37.799999999999997">
      <c r="B14" s="46" t="s">
        <v>871</v>
      </c>
      <c r="C14" s="46" t="s">
        <v>672</v>
      </c>
      <c r="D14" s="46" t="s">
        <v>13</v>
      </c>
      <c r="E14" s="47">
        <v>16</v>
      </c>
      <c r="F14" s="47"/>
      <c r="G14" s="46"/>
      <c r="H14" s="46"/>
      <c r="I14" s="47"/>
      <c r="J14" s="47"/>
      <c r="K14" s="47"/>
      <c r="L14" s="46"/>
      <c r="M14" s="46"/>
      <c r="N14" s="48" t="s">
        <v>915</v>
      </c>
      <c r="O14" s="49"/>
      <c r="P14" s="49"/>
      <c r="Q14" s="44"/>
      <c r="R14" s="162" t="s">
        <v>136</v>
      </c>
      <c r="S14" s="162" t="s">
        <v>136</v>
      </c>
      <c r="T14" s="159"/>
      <c r="U14" s="44"/>
      <c r="V14" s="49"/>
      <c r="W14" s="49"/>
      <c r="X14" s="49"/>
      <c r="Y14" s="49"/>
      <c r="Z14" s="49"/>
    </row>
    <row r="15" spans="1:29" ht="75.599999999999994">
      <c r="B15" s="46" t="s">
        <v>872</v>
      </c>
      <c r="C15" s="46" t="s">
        <v>873</v>
      </c>
      <c r="D15" s="46" t="s">
        <v>13</v>
      </c>
      <c r="E15" s="47">
        <v>16</v>
      </c>
      <c r="F15" s="47"/>
      <c r="G15" s="46"/>
      <c r="H15" s="46"/>
      <c r="I15" s="47"/>
      <c r="J15" s="47"/>
      <c r="K15" s="47"/>
      <c r="L15" s="46"/>
      <c r="M15" s="46"/>
      <c r="N15" s="48" t="s">
        <v>933</v>
      </c>
      <c r="O15" s="48" t="s">
        <v>934</v>
      </c>
      <c r="P15" s="49"/>
      <c r="Q15" s="44"/>
      <c r="R15" s="162" t="s">
        <v>136</v>
      </c>
      <c r="S15" s="162" t="s">
        <v>136</v>
      </c>
      <c r="T15" s="159"/>
      <c r="U15" s="44"/>
      <c r="V15" s="49"/>
      <c r="W15" s="49"/>
      <c r="X15" s="49"/>
      <c r="Y15" s="49"/>
      <c r="Z15" s="49"/>
    </row>
    <row r="16" spans="1:29" ht="25.2">
      <c r="B16" s="46" t="s">
        <v>874</v>
      </c>
      <c r="C16" s="46" t="s">
        <v>875</v>
      </c>
      <c r="D16" s="46" t="s">
        <v>13</v>
      </c>
      <c r="E16" s="47">
        <v>32</v>
      </c>
      <c r="F16" s="47"/>
      <c r="G16" s="46"/>
      <c r="H16" s="46"/>
      <c r="I16" s="47"/>
      <c r="J16" s="47"/>
      <c r="K16" s="47"/>
      <c r="L16" s="46"/>
      <c r="M16" s="46"/>
      <c r="N16" s="48" t="s">
        <v>916</v>
      </c>
      <c r="O16" s="49"/>
      <c r="P16" s="49"/>
      <c r="Q16" s="44"/>
      <c r="R16" s="162" t="s">
        <v>136</v>
      </c>
      <c r="S16" s="162" t="s">
        <v>136</v>
      </c>
      <c r="T16" s="159"/>
      <c r="U16" s="44"/>
      <c r="V16" s="49"/>
      <c r="W16" s="49"/>
      <c r="X16" s="49"/>
      <c r="Y16" s="49"/>
      <c r="Z16" s="49"/>
    </row>
    <row r="17" spans="2:26" ht="50.4">
      <c r="B17" s="46" t="s">
        <v>876</v>
      </c>
      <c r="C17" s="46" t="s">
        <v>877</v>
      </c>
      <c r="D17" s="46" t="s">
        <v>13</v>
      </c>
      <c r="E17" s="47">
        <v>50</v>
      </c>
      <c r="F17" s="47"/>
      <c r="G17" s="46"/>
      <c r="H17" s="46"/>
      <c r="I17" s="47"/>
      <c r="J17" s="47"/>
      <c r="K17" s="47"/>
      <c r="L17" s="46"/>
      <c r="M17" s="46"/>
      <c r="N17" s="48" t="s">
        <v>917</v>
      </c>
      <c r="O17" s="49"/>
      <c r="P17" s="49"/>
      <c r="Q17" s="44"/>
      <c r="R17" s="162" t="s">
        <v>136</v>
      </c>
      <c r="S17" s="162" t="s">
        <v>136</v>
      </c>
      <c r="T17" s="159"/>
      <c r="U17" s="44"/>
      <c r="V17" s="49"/>
      <c r="W17" s="49"/>
      <c r="X17" s="49"/>
      <c r="Y17" s="49"/>
      <c r="Z17" s="49"/>
    </row>
    <row r="18" spans="2:26" ht="113.4">
      <c r="B18" s="46" t="s">
        <v>878</v>
      </c>
      <c r="C18" s="46" t="s">
        <v>879</v>
      </c>
      <c r="D18" s="46" t="s">
        <v>13</v>
      </c>
      <c r="E18" s="47">
        <v>50</v>
      </c>
      <c r="F18" s="47"/>
      <c r="G18" s="46"/>
      <c r="H18" s="46"/>
      <c r="I18" s="47"/>
      <c r="J18" s="47"/>
      <c r="K18" s="47"/>
      <c r="L18" s="46"/>
      <c r="M18" s="46"/>
      <c r="N18" s="48" t="s">
        <v>918</v>
      </c>
      <c r="O18" s="49"/>
      <c r="P18" s="49"/>
      <c r="Q18" s="44"/>
      <c r="R18" s="162" t="s">
        <v>136</v>
      </c>
      <c r="S18" s="162" t="s">
        <v>136</v>
      </c>
      <c r="T18" s="159"/>
      <c r="U18" s="44"/>
      <c r="V18" s="49"/>
      <c r="W18" s="49"/>
      <c r="X18" s="49"/>
      <c r="Y18" s="49"/>
      <c r="Z18" s="49"/>
    </row>
    <row r="19" spans="2:26" ht="63">
      <c r="B19" s="46" t="s">
        <v>880</v>
      </c>
      <c r="C19" s="46" t="s">
        <v>881</v>
      </c>
      <c r="D19" s="46" t="s">
        <v>13</v>
      </c>
      <c r="E19" s="47">
        <v>50</v>
      </c>
      <c r="F19" s="47"/>
      <c r="G19" s="46"/>
      <c r="H19" s="46"/>
      <c r="I19" s="47"/>
      <c r="J19" s="47"/>
      <c r="K19" s="47"/>
      <c r="L19" s="46"/>
      <c r="M19" s="46"/>
      <c r="N19" s="48" t="s">
        <v>919</v>
      </c>
      <c r="O19" s="49"/>
      <c r="P19" s="49"/>
      <c r="Q19" s="44"/>
      <c r="R19" s="162" t="s">
        <v>136</v>
      </c>
      <c r="S19" s="162" t="s">
        <v>136</v>
      </c>
      <c r="T19" s="159"/>
      <c r="U19" s="44"/>
      <c r="V19" s="49"/>
      <c r="W19" s="49"/>
      <c r="X19" s="49"/>
      <c r="Y19" s="49"/>
      <c r="Z19" s="49"/>
    </row>
    <row r="20" spans="2:26" ht="75.599999999999994">
      <c r="B20" s="46" t="s">
        <v>882</v>
      </c>
      <c r="C20" s="46" t="s">
        <v>883</v>
      </c>
      <c r="D20" s="46" t="s">
        <v>13</v>
      </c>
      <c r="E20" s="47">
        <v>50</v>
      </c>
      <c r="F20" s="47"/>
      <c r="G20" s="46"/>
      <c r="H20" s="46"/>
      <c r="I20" s="47"/>
      <c r="J20" s="47"/>
      <c r="K20" s="47"/>
      <c r="L20" s="46"/>
      <c r="M20" s="46"/>
      <c r="N20" s="48" t="s">
        <v>920</v>
      </c>
      <c r="O20" s="49"/>
      <c r="P20" s="49"/>
      <c r="Q20" s="44"/>
      <c r="R20" s="162" t="s">
        <v>136</v>
      </c>
      <c r="S20" s="162" t="s">
        <v>136</v>
      </c>
      <c r="T20" s="159"/>
      <c r="U20" s="44"/>
      <c r="V20" s="49"/>
      <c r="W20" s="49"/>
      <c r="X20" s="49"/>
      <c r="Y20" s="49"/>
      <c r="Z20" s="49"/>
    </row>
    <row r="21" spans="2:26" ht="50.4">
      <c r="B21" s="46" t="s">
        <v>884</v>
      </c>
      <c r="C21" s="46" t="s">
        <v>885</v>
      </c>
      <c r="D21" s="46" t="s">
        <v>13</v>
      </c>
      <c r="E21" s="47">
        <v>50</v>
      </c>
      <c r="F21" s="47"/>
      <c r="G21" s="46"/>
      <c r="H21" s="46"/>
      <c r="I21" s="47"/>
      <c r="J21" s="47"/>
      <c r="K21" s="47"/>
      <c r="L21" s="46"/>
      <c r="M21" s="46"/>
      <c r="N21" s="48" t="s">
        <v>921</v>
      </c>
      <c r="O21" s="49"/>
      <c r="P21" s="49"/>
      <c r="Q21" s="44"/>
      <c r="R21" s="162" t="s">
        <v>136</v>
      </c>
      <c r="S21" s="162" t="s">
        <v>136</v>
      </c>
      <c r="T21" s="159"/>
      <c r="U21" s="44"/>
      <c r="V21" s="49"/>
      <c r="W21" s="49"/>
      <c r="X21" s="49"/>
      <c r="Y21" s="49"/>
      <c r="Z21" s="49"/>
    </row>
    <row r="22" spans="2:26" ht="378">
      <c r="B22" s="46" t="s">
        <v>886</v>
      </c>
      <c r="C22" s="46" t="s">
        <v>887</v>
      </c>
      <c r="D22" s="46" t="s">
        <v>13</v>
      </c>
      <c r="E22" s="47">
        <v>40</v>
      </c>
      <c r="F22" s="47"/>
      <c r="G22" s="46"/>
      <c r="H22" s="46"/>
      <c r="I22" s="47"/>
      <c r="J22" s="47"/>
      <c r="K22" s="47"/>
      <c r="L22" s="46"/>
      <c r="M22" s="46"/>
      <c r="N22" s="48" t="s">
        <v>932</v>
      </c>
      <c r="O22" s="48" t="s">
        <v>931</v>
      </c>
      <c r="P22" s="49"/>
      <c r="Q22" s="44"/>
      <c r="R22" s="162" t="s">
        <v>136</v>
      </c>
      <c r="S22" s="162" t="s">
        <v>136</v>
      </c>
      <c r="T22" s="159"/>
      <c r="U22" s="44"/>
      <c r="V22" s="49"/>
      <c r="W22" s="49"/>
      <c r="X22" s="49"/>
      <c r="Y22" s="49"/>
      <c r="Z22" s="49"/>
    </row>
    <row r="23" spans="2:26" ht="63">
      <c r="B23" s="46" t="s">
        <v>888</v>
      </c>
      <c r="C23" s="46" t="s">
        <v>889</v>
      </c>
      <c r="D23" s="46" t="s">
        <v>13</v>
      </c>
      <c r="E23" s="47">
        <v>10</v>
      </c>
      <c r="F23" s="47"/>
      <c r="G23" s="46"/>
      <c r="H23" s="46"/>
      <c r="I23" s="47"/>
      <c r="J23" s="47"/>
      <c r="K23" s="47"/>
      <c r="L23" s="46"/>
      <c r="M23" s="46"/>
      <c r="N23" s="48" t="s">
        <v>935</v>
      </c>
      <c r="O23" s="48" t="s">
        <v>936</v>
      </c>
      <c r="P23" s="49"/>
      <c r="Q23" s="44"/>
      <c r="R23" s="162" t="s">
        <v>136</v>
      </c>
      <c r="S23" s="162" t="s">
        <v>136</v>
      </c>
      <c r="T23" s="159"/>
      <c r="U23" s="44"/>
      <c r="V23" s="49"/>
      <c r="W23" s="49"/>
      <c r="X23" s="49"/>
      <c r="Y23" s="49"/>
      <c r="Z23" s="49"/>
    </row>
    <row r="24" spans="2:26" ht="37.799999999999997">
      <c r="B24" s="46" t="s">
        <v>890</v>
      </c>
      <c r="C24" s="46" t="s">
        <v>891</v>
      </c>
      <c r="D24" s="46" t="s">
        <v>13</v>
      </c>
      <c r="E24" s="47">
        <v>10</v>
      </c>
      <c r="F24" s="47"/>
      <c r="G24" s="46"/>
      <c r="H24" s="46"/>
      <c r="I24" s="47"/>
      <c r="J24" s="47"/>
      <c r="K24" s="47"/>
      <c r="L24" s="46"/>
      <c r="M24" s="46"/>
      <c r="N24" s="48"/>
      <c r="O24" s="48" t="s">
        <v>922</v>
      </c>
      <c r="P24" s="49"/>
      <c r="Q24" s="44"/>
      <c r="R24" s="162" t="s">
        <v>136</v>
      </c>
      <c r="S24" s="162" t="s">
        <v>136</v>
      </c>
      <c r="T24" s="159"/>
      <c r="U24" s="44"/>
      <c r="V24" s="49"/>
      <c r="W24" s="49"/>
      <c r="X24" s="49"/>
      <c r="Y24" s="49"/>
      <c r="Z24" s="49"/>
    </row>
    <row r="25" spans="2:26" ht="25.2">
      <c r="B25" s="46" t="s">
        <v>187</v>
      </c>
      <c r="C25" s="46" t="s">
        <v>433</v>
      </c>
      <c r="D25" s="46" t="s">
        <v>13</v>
      </c>
      <c r="E25" s="47">
        <v>10</v>
      </c>
      <c r="F25" s="47"/>
      <c r="G25" s="46"/>
      <c r="H25" s="46"/>
      <c r="I25" s="47"/>
      <c r="J25" s="47"/>
      <c r="K25" s="47"/>
      <c r="L25" s="46"/>
      <c r="M25" s="46"/>
      <c r="N25" s="48"/>
      <c r="O25" s="48" t="s">
        <v>923</v>
      </c>
      <c r="P25" s="49"/>
      <c r="Q25" s="44"/>
      <c r="R25" s="162" t="s">
        <v>136</v>
      </c>
      <c r="S25" s="162" t="s">
        <v>136</v>
      </c>
      <c r="T25" s="159"/>
      <c r="U25" s="44"/>
      <c r="V25" s="49"/>
      <c r="W25" s="49"/>
      <c r="X25" s="49"/>
      <c r="Y25" s="49"/>
      <c r="Z25" s="49"/>
    </row>
    <row r="26" spans="2:26">
      <c r="B26" s="46" t="s">
        <v>892</v>
      </c>
      <c r="C26" s="46" t="s">
        <v>893</v>
      </c>
      <c r="D26" s="46" t="s">
        <v>13</v>
      </c>
      <c r="E26" s="47" t="s">
        <v>505</v>
      </c>
      <c r="F26" s="47"/>
      <c r="G26" s="46"/>
      <c r="H26" s="46"/>
      <c r="I26" s="47"/>
      <c r="J26" s="47"/>
      <c r="K26" s="47"/>
      <c r="L26" s="46"/>
      <c r="M26" s="46"/>
      <c r="N26" s="49" t="s">
        <v>930</v>
      </c>
      <c r="O26" s="49"/>
      <c r="P26" s="49"/>
      <c r="Q26" s="44"/>
      <c r="R26" s="162" t="s">
        <v>136</v>
      </c>
      <c r="S26" s="162" t="s">
        <v>136</v>
      </c>
      <c r="T26" s="159"/>
      <c r="U26" s="44"/>
      <c r="V26" s="49"/>
      <c r="W26" s="49"/>
      <c r="X26" s="49"/>
      <c r="Y26" s="49"/>
      <c r="Z26" s="49"/>
    </row>
    <row r="27" spans="2:26" ht="63">
      <c r="B27" s="46" t="s">
        <v>894</v>
      </c>
      <c r="C27" s="46" t="s">
        <v>895</v>
      </c>
      <c r="D27" s="46" t="s">
        <v>13</v>
      </c>
      <c r="E27" s="47">
        <v>10</v>
      </c>
      <c r="F27" s="47"/>
      <c r="G27" s="46"/>
      <c r="H27" s="46"/>
      <c r="I27" s="47"/>
      <c r="J27" s="47"/>
      <c r="K27" s="47"/>
      <c r="L27" s="46"/>
      <c r="M27" s="46"/>
      <c r="N27" s="49"/>
      <c r="O27" s="48" t="s">
        <v>929</v>
      </c>
      <c r="P27" s="49"/>
      <c r="Q27" s="44"/>
      <c r="R27" s="162" t="s">
        <v>136</v>
      </c>
      <c r="S27" s="162" t="s">
        <v>136</v>
      </c>
      <c r="T27" s="159"/>
      <c r="U27" s="44"/>
      <c r="V27" s="49"/>
      <c r="W27" s="49"/>
      <c r="X27" s="49"/>
      <c r="Y27" s="49"/>
      <c r="Z27" s="49"/>
    </row>
    <row r="28" spans="2:26" ht="37.799999999999997">
      <c r="B28" s="46" t="s">
        <v>896</v>
      </c>
      <c r="C28" s="46" t="s">
        <v>897</v>
      </c>
      <c r="D28" s="46" t="s">
        <v>13</v>
      </c>
      <c r="E28" s="47">
        <v>100</v>
      </c>
      <c r="F28" s="47"/>
      <c r="G28" s="46"/>
      <c r="H28" s="46"/>
      <c r="I28" s="47"/>
      <c r="J28" s="47"/>
      <c r="K28" s="47"/>
      <c r="L28" s="46"/>
      <c r="M28" s="46"/>
      <c r="N28" s="49"/>
      <c r="O28" s="48" t="s">
        <v>928</v>
      </c>
      <c r="P28" s="49"/>
      <c r="Q28" s="44"/>
      <c r="R28" s="162" t="s">
        <v>136</v>
      </c>
      <c r="S28" s="162" t="s">
        <v>136</v>
      </c>
      <c r="T28" s="159"/>
      <c r="U28" s="44"/>
      <c r="V28" s="49"/>
      <c r="W28" s="49"/>
      <c r="X28" s="49"/>
      <c r="Y28" s="49"/>
      <c r="Z28" s="49"/>
    </row>
    <row r="29" spans="2:26">
      <c r="B29" s="46" t="s">
        <v>898</v>
      </c>
      <c r="C29" s="46" t="s">
        <v>811</v>
      </c>
      <c r="D29" s="46" t="s">
        <v>13</v>
      </c>
      <c r="E29" s="47" t="s">
        <v>505</v>
      </c>
      <c r="F29" s="47"/>
      <c r="G29" s="46"/>
      <c r="H29" s="46"/>
      <c r="I29" s="47"/>
      <c r="J29" s="47"/>
      <c r="K29" s="47"/>
      <c r="L29" s="46"/>
      <c r="M29" s="46"/>
      <c r="N29" s="49" t="s">
        <v>924</v>
      </c>
      <c r="O29" s="49"/>
      <c r="P29" s="49"/>
      <c r="Q29" s="44"/>
      <c r="R29" s="162" t="s">
        <v>136</v>
      </c>
      <c r="S29" s="162" t="s">
        <v>136</v>
      </c>
      <c r="T29" s="159"/>
      <c r="U29" s="44"/>
      <c r="V29" s="49"/>
      <c r="W29" s="49"/>
      <c r="X29" s="49"/>
      <c r="Y29" s="49"/>
      <c r="Z29" s="49"/>
    </row>
    <row r="30" spans="2:26" ht="37.799999999999997">
      <c r="B30" s="46" t="s">
        <v>252</v>
      </c>
      <c r="C30" s="46" t="s">
        <v>253</v>
      </c>
      <c r="D30" s="46" t="s">
        <v>13</v>
      </c>
      <c r="E30" s="47">
        <v>100</v>
      </c>
      <c r="F30" s="47"/>
      <c r="G30" s="46"/>
      <c r="H30" s="46"/>
      <c r="I30" s="47"/>
      <c r="J30" s="47"/>
      <c r="K30" s="47"/>
      <c r="L30" s="46"/>
      <c r="M30" s="46"/>
      <c r="N30" s="48" t="s">
        <v>926</v>
      </c>
      <c r="O30" s="48" t="s">
        <v>927</v>
      </c>
      <c r="P30" s="49"/>
      <c r="Q30" s="44"/>
      <c r="R30" s="162" t="s">
        <v>136</v>
      </c>
      <c r="S30" s="162" t="s">
        <v>136</v>
      </c>
      <c r="T30" s="159"/>
      <c r="U30" s="44"/>
      <c r="V30" s="49"/>
      <c r="W30" s="49"/>
      <c r="X30" s="49"/>
      <c r="Y30" s="49"/>
      <c r="Z30" s="49"/>
    </row>
    <row r="31" spans="2:26">
      <c r="B31" s="46" t="s">
        <v>255</v>
      </c>
      <c r="C31" s="46" t="s">
        <v>256</v>
      </c>
      <c r="D31" s="46" t="s">
        <v>13</v>
      </c>
      <c r="E31" s="47">
        <v>100</v>
      </c>
      <c r="F31" s="47"/>
      <c r="G31" s="46"/>
      <c r="H31" s="46"/>
      <c r="I31" s="47"/>
      <c r="J31" s="47"/>
      <c r="K31" s="47"/>
      <c r="L31" s="46"/>
      <c r="M31" s="46"/>
      <c r="N31" s="49" t="s">
        <v>925</v>
      </c>
      <c r="O31" s="49"/>
      <c r="P31" s="49"/>
      <c r="Q31" s="44"/>
      <c r="R31" s="162" t="s">
        <v>136</v>
      </c>
      <c r="S31" s="162" t="s">
        <v>136</v>
      </c>
      <c r="T31" s="159"/>
      <c r="U31" s="44"/>
      <c r="V31" s="49"/>
      <c r="W31" s="49"/>
      <c r="X31" s="49"/>
      <c r="Y31" s="49"/>
      <c r="Z31" s="49"/>
    </row>
    <row r="32" spans="2:26">
      <c r="B32" s="46" t="s">
        <v>257</v>
      </c>
      <c r="C32" s="46" t="s">
        <v>258</v>
      </c>
      <c r="D32" s="46" t="s">
        <v>13</v>
      </c>
      <c r="E32" s="47">
        <v>100</v>
      </c>
      <c r="F32" s="47"/>
      <c r="G32" s="46"/>
      <c r="H32" s="46"/>
      <c r="I32" s="47"/>
      <c r="J32" s="47"/>
      <c r="K32" s="47"/>
      <c r="L32" s="46"/>
      <c r="M32" s="46"/>
      <c r="N32" s="49" t="s">
        <v>925</v>
      </c>
      <c r="O32" s="49"/>
      <c r="P32" s="49"/>
      <c r="Q32" s="44"/>
      <c r="R32" s="162" t="s">
        <v>136</v>
      </c>
      <c r="S32" s="162" t="s">
        <v>136</v>
      </c>
      <c r="T32" s="159"/>
      <c r="U32" s="44"/>
      <c r="V32" s="49"/>
      <c r="W32" s="49"/>
      <c r="X32" s="49"/>
      <c r="Y32" s="49"/>
      <c r="Z32" s="49"/>
    </row>
    <row r="33" spans="2:26">
      <c r="B33" s="46" t="s">
        <v>259</v>
      </c>
      <c r="C33" s="46" t="s">
        <v>260</v>
      </c>
      <c r="D33" s="46" t="s">
        <v>13</v>
      </c>
      <c r="E33" s="47">
        <v>100</v>
      </c>
      <c r="F33" s="47"/>
      <c r="G33" s="46"/>
      <c r="H33" s="46"/>
      <c r="I33" s="47"/>
      <c r="J33" s="47"/>
      <c r="K33" s="47"/>
      <c r="L33" s="46"/>
      <c r="M33" s="46"/>
      <c r="N33" s="49" t="s">
        <v>899</v>
      </c>
      <c r="O33" s="49"/>
      <c r="P33" s="49"/>
      <c r="Q33" s="44"/>
      <c r="R33" s="162" t="s">
        <v>136</v>
      </c>
      <c r="S33" s="162" t="s">
        <v>136</v>
      </c>
      <c r="T33" s="159"/>
      <c r="U33" s="44"/>
      <c r="V33" s="49"/>
      <c r="W33" s="49"/>
      <c r="X33" s="49"/>
      <c r="Y33" s="49"/>
      <c r="Z33" s="49"/>
    </row>
    <row r="34" spans="2:26">
      <c r="B34" s="46" t="s">
        <v>261</v>
      </c>
      <c r="C34" s="46" t="s">
        <v>262</v>
      </c>
      <c r="D34" s="46" t="s">
        <v>13</v>
      </c>
      <c r="E34" s="47">
        <v>100</v>
      </c>
      <c r="F34" s="47"/>
      <c r="G34" s="46"/>
      <c r="H34" s="46"/>
      <c r="I34" s="47"/>
      <c r="J34" s="47"/>
      <c r="K34" s="47"/>
      <c r="L34" s="46"/>
      <c r="M34" s="46"/>
      <c r="N34" s="49" t="s">
        <v>899</v>
      </c>
      <c r="O34" s="49"/>
      <c r="P34" s="49"/>
      <c r="Q34" s="44"/>
      <c r="R34" s="162" t="s">
        <v>136</v>
      </c>
      <c r="S34" s="162" t="s">
        <v>136</v>
      </c>
      <c r="T34" s="159"/>
      <c r="U34" s="44"/>
      <c r="V34" s="49"/>
      <c r="W34" s="49"/>
      <c r="X34" s="49"/>
      <c r="Y34" s="49"/>
      <c r="Z34" s="49"/>
    </row>
    <row r="35" spans="2:26">
      <c r="B35" s="46" t="s">
        <v>900</v>
      </c>
      <c r="C35" s="46" t="s">
        <v>901</v>
      </c>
      <c r="D35" s="46" t="s">
        <v>13</v>
      </c>
      <c r="E35" s="47">
        <v>100</v>
      </c>
      <c r="F35" s="47"/>
      <c r="G35" s="46"/>
      <c r="H35" s="46"/>
      <c r="I35" s="47"/>
      <c r="J35" s="47"/>
      <c r="K35" s="47"/>
      <c r="L35" s="46"/>
      <c r="M35" s="46"/>
      <c r="N35" s="49" t="s">
        <v>899</v>
      </c>
      <c r="O35" s="49"/>
      <c r="P35" s="49"/>
      <c r="Q35" s="44"/>
      <c r="R35" s="162" t="s">
        <v>136</v>
      </c>
      <c r="S35" s="162" t="s">
        <v>136</v>
      </c>
      <c r="T35" s="159"/>
      <c r="U35" s="44"/>
      <c r="V35" s="49"/>
      <c r="W35" s="49"/>
      <c r="X35" s="49"/>
      <c r="Y35" s="49"/>
      <c r="Z35" s="49"/>
    </row>
    <row r="36" spans="2:26">
      <c r="B36" s="46" t="s">
        <v>902</v>
      </c>
      <c r="C36" s="46" t="s">
        <v>903</v>
      </c>
      <c r="D36" s="46" t="s">
        <v>13</v>
      </c>
      <c r="E36" s="47">
        <v>100</v>
      </c>
      <c r="F36" s="47"/>
      <c r="G36" s="46"/>
      <c r="H36" s="46"/>
      <c r="I36" s="47"/>
      <c r="J36" s="47"/>
      <c r="K36" s="47"/>
      <c r="L36" s="46"/>
      <c r="M36" s="46"/>
      <c r="N36" s="49" t="s">
        <v>899</v>
      </c>
      <c r="O36" s="49"/>
      <c r="P36" s="49"/>
      <c r="Q36" s="44"/>
      <c r="R36" s="162" t="s">
        <v>136</v>
      </c>
      <c r="S36" s="162" t="s">
        <v>136</v>
      </c>
      <c r="T36" s="159"/>
      <c r="U36" s="44"/>
      <c r="V36" s="49"/>
      <c r="W36" s="49"/>
      <c r="X36" s="49"/>
      <c r="Y36" s="49"/>
      <c r="Z36" s="49"/>
    </row>
    <row r="37" spans="2:26">
      <c r="B37" s="46" t="s">
        <v>904</v>
      </c>
      <c r="C37" s="46" t="s">
        <v>905</v>
      </c>
      <c r="D37" s="46" t="s">
        <v>13</v>
      </c>
      <c r="E37" s="47">
        <v>100</v>
      </c>
      <c r="F37" s="47"/>
      <c r="G37" s="46"/>
      <c r="H37" s="46"/>
      <c r="I37" s="47"/>
      <c r="J37" s="47"/>
      <c r="K37" s="47"/>
      <c r="L37" s="46"/>
      <c r="M37" s="46"/>
      <c r="N37" s="49" t="s">
        <v>899</v>
      </c>
      <c r="O37" s="49"/>
      <c r="P37" s="49"/>
      <c r="Q37" s="44"/>
      <c r="R37" s="162" t="s">
        <v>136</v>
      </c>
      <c r="S37" s="162" t="s">
        <v>136</v>
      </c>
      <c r="T37" s="159"/>
      <c r="U37" s="44"/>
      <c r="V37" s="49"/>
      <c r="W37" s="49"/>
      <c r="X37" s="49"/>
      <c r="Y37" s="49"/>
      <c r="Z37" s="49"/>
    </row>
    <row r="38" spans="2:26">
      <c r="B38" s="46" t="s">
        <v>906</v>
      </c>
      <c r="C38" s="46" t="s">
        <v>907</v>
      </c>
      <c r="D38" s="46" t="s">
        <v>13</v>
      </c>
      <c r="E38" s="47">
        <v>100</v>
      </c>
      <c r="F38" s="47"/>
      <c r="G38" s="46"/>
      <c r="H38" s="46"/>
      <c r="I38" s="47"/>
      <c r="J38" s="47"/>
      <c r="K38" s="47"/>
      <c r="L38" s="46"/>
      <c r="M38" s="46"/>
      <c r="N38" s="49" t="s">
        <v>899</v>
      </c>
      <c r="O38" s="49"/>
      <c r="P38" s="49"/>
      <c r="Q38" s="44"/>
      <c r="R38" s="162" t="s">
        <v>136</v>
      </c>
      <c r="S38" s="162" t="s">
        <v>136</v>
      </c>
      <c r="T38" s="159"/>
      <c r="U38" s="44"/>
      <c r="V38" s="49"/>
      <c r="W38" s="49"/>
      <c r="X38" s="49"/>
      <c r="Y38" s="49"/>
      <c r="Z38" s="49"/>
    </row>
    <row r="39" spans="2:26">
      <c r="B39" s="46" t="s">
        <v>908</v>
      </c>
      <c r="C39" s="46" t="s">
        <v>909</v>
      </c>
      <c r="D39" s="46" t="s">
        <v>13</v>
      </c>
      <c r="E39" s="47">
        <v>100</v>
      </c>
      <c r="F39" s="47"/>
      <c r="G39" s="46"/>
      <c r="H39" s="46"/>
      <c r="I39" s="47"/>
      <c r="J39" s="47"/>
      <c r="K39" s="47"/>
      <c r="L39" s="46"/>
      <c r="M39" s="46"/>
      <c r="N39" s="49" t="s">
        <v>899</v>
      </c>
      <c r="O39" s="49"/>
      <c r="P39" s="49"/>
      <c r="Q39" s="44"/>
      <c r="R39" s="162" t="s">
        <v>136</v>
      </c>
      <c r="S39" s="162" t="s">
        <v>136</v>
      </c>
      <c r="T39" s="159"/>
      <c r="U39" s="44"/>
      <c r="V39" s="49"/>
      <c r="W39" s="49"/>
      <c r="X39" s="49"/>
      <c r="Y39" s="49"/>
      <c r="Z39" s="49"/>
    </row>
    <row r="40" spans="2:26">
      <c r="B40" s="46" t="s">
        <v>287</v>
      </c>
      <c r="C40" s="46" t="s">
        <v>16</v>
      </c>
      <c r="D40" s="46" t="s">
        <v>17</v>
      </c>
      <c r="E40" s="47">
        <v>8</v>
      </c>
      <c r="F40" s="47"/>
      <c r="G40" s="54" t="s">
        <v>135</v>
      </c>
      <c r="H40" s="46"/>
      <c r="I40" s="47"/>
      <c r="J40" s="47"/>
      <c r="K40" s="47"/>
      <c r="L40" s="46" t="s">
        <v>82</v>
      </c>
      <c r="M40" s="46" t="s">
        <v>14</v>
      </c>
      <c r="N40" s="49" t="s">
        <v>287</v>
      </c>
      <c r="O40" s="49"/>
      <c r="P40" s="49"/>
      <c r="Q40" s="44"/>
      <c r="R40" s="162" t="s">
        <v>136</v>
      </c>
      <c r="S40" s="162" t="s">
        <v>136</v>
      </c>
      <c r="T40" s="159"/>
      <c r="U40" s="44"/>
      <c r="V40" s="49"/>
      <c r="W40" s="49"/>
      <c r="X40" s="49"/>
      <c r="Y40" s="49"/>
      <c r="Z40" s="49"/>
    </row>
    <row r="41" spans="2:26">
      <c r="B41" s="46" t="s">
        <v>288</v>
      </c>
      <c r="C41" s="46" t="s">
        <v>18</v>
      </c>
      <c r="D41" s="46" t="s">
        <v>17</v>
      </c>
      <c r="E41" s="47">
        <v>8</v>
      </c>
      <c r="F41" s="47"/>
      <c r="G41" s="54" t="s">
        <v>135</v>
      </c>
      <c r="H41" s="46"/>
      <c r="I41" s="47"/>
      <c r="J41" s="47"/>
      <c r="K41" s="47"/>
      <c r="L41" s="46" t="s">
        <v>82</v>
      </c>
      <c r="M41" s="46" t="s">
        <v>14</v>
      </c>
      <c r="N41" s="49" t="s">
        <v>288</v>
      </c>
      <c r="O41" s="49"/>
      <c r="P41" s="49"/>
      <c r="Q41" s="44"/>
      <c r="R41" s="162" t="s">
        <v>136</v>
      </c>
      <c r="S41" s="162" t="s">
        <v>136</v>
      </c>
      <c r="T41" s="159"/>
      <c r="U41" s="44"/>
      <c r="V41" s="49"/>
      <c r="W41" s="49"/>
      <c r="X41" s="49"/>
      <c r="Y41" s="49"/>
      <c r="Z41" s="49"/>
    </row>
    <row r="42" spans="2:26">
      <c r="B42" s="46" t="s">
        <v>19</v>
      </c>
      <c r="C42" s="46" t="s">
        <v>20</v>
      </c>
      <c r="D42" s="46" t="s">
        <v>13</v>
      </c>
      <c r="E42" s="47">
        <v>40</v>
      </c>
      <c r="F42" s="47"/>
      <c r="G42" s="46"/>
      <c r="H42" s="46"/>
      <c r="I42" s="47"/>
      <c r="J42" s="47"/>
      <c r="K42" s="47"/>
      <c r="L42" s="46" t="s">
        <v>78</v>
      </c>
      <c r="M42" s="46" t="s">
        <v>14</v>
      </c>
      <c r="N42" s="49" t="s">
        <v>910</v>
      </c>
      <c r="O42" s="49"/>
      <c r="P42" s="49"/>
      <c r="Q42" s="44"/>
      <c r="R42" s="162" t="s">
        <v>136</v>
      </c>
      <c r="S42" s="162" t="s">
        <v>136</v>
      </c>
      <c r="T42" s="159"/>
      <c r="U42" s="44"/>
      <c r="V42" s="49"/>
      <c r="W42" s="49"/>
      <c r="X42" s="49"/>
      <c r="Y42" s="49"/>
      <c r="Z42" s="49"/>
    </row>
    <row r="43" spans="2:26">
      <c r="B43" s="46" t="s">
        <v>21</v>
      </c>
      <c r="C43" s="46" t="s">
        <v>22</v>
      </c>
      <c r="D43" s="46" t="s">
        <v>13</v>
      </c>
      <c r="E43" s="47">
        <v>40</v>
      </c>
      <c r="F43" s="47"/>
      <c r="G43" s="46"/>
      <c r="H43" s="46"/>
      <c r="I43" s="47"/>
      <c r="J43" s="47"/>
      <c r="K43" s="47"/>
      <c r="L43" s="46" t="s">
        <v>78</v>
      </c>
      <c r="M43" s="46" t="s">
        <v>14</v>
      </c>
      <c r="N43" s="49" t="s">
        <v>910</v>
      </c>
      <c r="O43" s="49"/>
      <c r="P43" s="49"/>
      <c r="Q43" s="44"/>
      <c r="R43" s="162" t="s">
        <v>136</v>
      </c>
      <c r="S43" s="162" t="s">
        <v>136</v>
      </c>
      <c r="T43" s="159"/>
      <c r="U43" s="44"/>
      <c r="V43" s="49"/>
      <c r="W43" s="49"/>
      <c r="X43" s="49"/>
      <c r="Y43" s="49"/>
      <c r="Z43" s="49"/>
    </row>
    <row r="44" spans="2:26" ht="25.2">
      <c r="B44" s="46" t="s">
        <v>45</v>
      </c>
      <c r="C44" s="46" t="s">
        <v>46</v>
      </c>
      <c r="D44" s="46" t="s">
        <v>13</v>
      </c>
      <c r="E44" s="47">
        <v>10</v>
      </c>
      <c r="F44" s="47"/>
      <c r="G44" s="46"/>
      <c r="H44" s="46"/>
      <c r="I44" s="47"/>
      <c r="J44" s="47"/>
      <c r="K44" s="47"/>
      <c r="L44" s="46" t="s">
        <v>83</v>
      </c>
      <c r="M44" s="46" t="s">
        <v>14</v>
      </c>
      <c r="N44" s="49" t="s">
        <v>62</v>
      </c>
      <c r="O44" s="48" t="s">
        <v>63</v>
      </c>
      <c r="P44" s="49"/>
      <c r="Q44" s="44"/>
      <c r="R44" s="162" t="s">
        <v>136</v>
      </c>
      <c r="S44" s="162" t="s">
        <v>136</v>
      </c>
      <c r="T44" s="159"/>
      <c r="U44" s="44"/>
      <c r="V44" s="49"/>
      <c r="W44" s="49"/>
      <c r="X44" s="49"/>
      <c r="Y44" s="49"/>
      <c r="Z44" s="49"/>
    </row>
    <row r="45" spans="2:26">
      <c r="B45" s="44"/>
      <c r="C45" s="44"/>
      <c r="D45" s="44"/>
      <c r="E45" s="44"/>
      <c r="F45" s="44"/>
      <c r="G45" s="44"/>
      <c r="H45" s="44"/>
      <c r="I45" s="44"/>
      <c r="J45" s="44"/>
      <c r="K45" s="44"/>
      <c r="L45" s="44"/>
      <c r="M45" s="44"/>
      <c r="N45" s="44"/>
      <c r="O45" s="44"/>
      <c r="P45" s="44"/>
      <c r="Q45" s="44"/>
      <c r="R45" s="29"/>
      <c r="S45" s="29"/>
      <c r="T45" s="29"/>
      <c r="U45" s="44"/>
      <c r="V45" s="44"/>
      <c r="W45" s="44"/>
      <c r="X45" s="44"/>
      <c r="Y45" s="44"/>
      <c r="Z45" s="44"/>
    </row>
    <row r="46" spans="2:26">
      <c r="B46" s="44"/>
      <c r="C46" s="44"/>
      <c r="D46" s="44"/>
      <c r="E46" s="44"/>
      <c r="F46" s="44"/>
      <c r="G46" s="44"/>
      <c r="H46" s="44"/>
      <c r="I46" s="44"/>
      <c r="J46" s="44"/>
      <c r="K46" s="44"/>
      <c r="L46" s="44"/>
      <c r="M46" s="44"/>
      <c r="N46" s="44"/>
      <c r="O46" s="44"/>
      <c r="P46" s="44"/>
      <c r="Q46" s="44"/>
      <c r="R46" s="29"/>
      <c r="S46" s="29"/>
      <c r="T46" s="29"/>
      <c r="U46" s="44"/>
      <c r="V46" s="44"/>
      <c r="W46" s="44"/>
      <c r="X46" s="44"/>
      <c r="Y46" s="44"/>
      <c r="Z46" s="44"/>
    </row>
    <row r="47" spans="2:26">
      <c r="B47" s="44"/>
      <c r="C47" s="44"/>
      <c r="D47" s="44"/>
      <c r="E47" s="44"/>
      <c r="F47" s="44"/>
      <c r="G47" s="44"/>
      <c r="H47" s="44"/>
      <c r="I47" s="44"/>
      <c r="J47" s="44"/>
      <c r="K47" s="44"/>
      <c r="L47" s="44"/>
      <c r="M47" s="44"/>
      <c r="N47" s="44"/>
      <c r="O47" s="44"/>
      <c r="P47" s="44"/>
      <c r="Q47" s="44"/>
      <c r="R47" s="29"/>
      <c r="S47" s="29"/>
      <c r="T47" s="29"/>
      <c r="U47" s="44"/>
      <c r="V47" s="44"/>
      <c r="W47" s="44"/>
      <c r="X47" s="44"/>
      <c r="Y47" s="44"/>
      <c r="Z47" s="44"/>
    </row>
    <row r="48" spans="2:26">
      <c r="B48" s="44"/>
      <c r="C48" s="44"/>
      <c r="D48" s="44"/>
      <c r="E48" s="44"/>
      <c r="F48" s="44"/>
      <c r="G48" s="44"/>
      <c r="H48" s="44"/>
      <c r="I48" s="44"/>
      <c r="J48" s="44"/>
      <c r="K48" s="44"/>
      <c r="L48" s="44"/>
      <c r="M48" s="44"/>
      <c r="N48" s="44"/>
      <c r="O48" s="44"/>
      <c r="P48" s="44"/>
      <c r="Q48" s="44"/>
      <c r="R48" s="29"/>
      <c r="S48" s="29"/>
      <c r="T48" s="29"/>
      <c r="U48" s="44"/>
      <c r="V48" s="44"/>
      <c r="W48" s="44"/>
      <c r="X48" s="44"/>
      <c r="Y48" s="44"/>
      <c r="Z48" s="44"/>
    </row>
    <row r="49" spans="2:26">
      <c r="B49" s="44"/>
      <c r="C49" s="44"/>
      <c r="D49" s="44"/>
      <c r="E49" s="44"/>
      <c r="F49" s="44"/>
      <c r="G49" s="44"/>
      <c r="H49" s="44"/>
      <c r="I49" s="44"/>
      <c r="J49" s="44"/>
      <c r="K49" s="44"/>
      <c r="L49" s="44"/>
      <c r="M49" s="44"/>
      <c r="N49" s="44"/>
      <c r="O49" s="44"/>
      <c r="P49" s="44"/>
      <c r="Q49" s="44"/>
      <c r="R49" s="29"/>
      <c r="S49" s="29"/>
      <c r="T49" s="29"/>
      <c r="U49" s="44"/>
      <c r="V49" s="44"/>
      <c r="W49" s="44"/>
      <c r="X49" s="44"/>
      <c r="Y49" s="44"/>
      <c r="Z49" s="44"/>
    </row>
    <row r="50" spans="2:26">
      <c r="B50" s="44"/>
      <c r="C50" s="44"/>
      <c r="D50" s="44"/>
      <c r="E50" s="44"/>
      <c r="F50" s="44"/>
      <c r="G50" s="44"/>
      <c r="H50" s="44"/>
      <c r="I50" s="44"/>
      <c r="J50" s="44"/>
      <c r="K50" s="44"/>
      <c r="L50" s="44"/>
      <c r="M50" s="44"/>
      <c r="N50" s="44"/>
      <c r="O50" s="44"/>
      <c r="P50" s="44"/>
      <c r="Q50" s="44"/>
      <c r="R50" s="29"/>
      <c r="S50" s="29"/>
      <c r="T50" s="29"/>
      <c r="U50" s="44"/>
      <c r="V50" s="44"/>
      <c r="W50" s="44"/>
      <c r="X50" s="44"/>
      <c r="Y50" s="44"/>
      <c r="Z50" s="44"/>
    </row>
    <row r="51" spans="2:26">
      <c r="B51" s="44"/>
      <c r="C51" s="44"/>
      <c r="D51" s="44"/>
      <c r="E51" s="44"/>
      <c r="F51" s="44"/>
      <c r="G51" s="44"/>
      <c r="H51" s="44"/>
      <c r="I51" s="44"/>
      <c r="J51" s="44"/>
      <c r="K51" s="44"/>
      <c r="L51" s="44"/>
      <c r="M51" s="44"/>
      <c r="N51" s="44"/>
      <c r="O51" s="44"/>
      <c r="P51" s="44"/>
      <c r="Q51" s="44"/>
      <c r="R51" s="29"/>
      <c r="S51" s="29"/>
      <c r="T51" s="29"/>
      <c r="U51" s="44"/>
      <c r="V51" s="44"/>
      <c r="W51" s="44"/>
      <c r="X51" s="44"/>
      <c r="Y51" s="44"/>
      <c r="Z51" s="44"/>
    </row>
    <row r="52" spans="2:26">
      <c r="B52" s="44"/>
      <c r="C52" s="44"/>
      <c r="D52" s="44"/>
      <c r="E52" s="44"/>
      <c r="F52" s="44"/>
      <c r="G52" s="44"/>
      <c r="H52" s="44"/>
      <c r="I52" s="44"/>
      <c r="J52" s="44"/>
      <c r="K52" s="44"/>
      <c r="L52" s="44"/>
      <c r="M52" s="44"/>
      <c r="N52" s="44"/>
      <c r="O52" s="44"/>
      <c r="P52" s="44"/>
      <c r="Q52" s="44"/>
      <c r="R52" s="29"/>
      <c r="S52" s="29"/>
      <c r="T52" s="29"/>
      <c r="U52" s="44"/>
      <c r="V52" s="44"/>
      <c r="W52" s="44"/>
      <c r="X52" s="44"/>
      <c r="Y52" s="44"/>
      <c r="Z52" s="44"/>
    </row>
    <row r="53" spans="2:26">
      <c r="B53" s="44"/>
      <c r="C53" s="44"/>
      <c r="D53" s="44"/>
      <c r="E53" s="44"/>
      <c r="F53" s="44"/>
      <c r="G53" s="44"/>
      <c r="H53" s="44"/>
      <c r="I53" s="44"/>
      <c r="J53" s="44"/>
      <c r="K53" s="44"/>
      <c r="L53" s="44"/>
      <c r="M53" s="44"/>
      <c r="N53" s="44"/>
      <c r="O53" s="44"/>
      <c r="P53" s="44"/>
      <c r="Q53" s="44"/>
      <c r="R53" s="29"/>
      <c r="S53" s="29"/>
      <c r="T53" s="29"/>
      <c r="U53" s="44"/>
      <c r="V53" s="44"/>
      <c r="W53" s="44"/>
      <c r="X53" s="44"/>
      <c r="Y53" s="44"/>
      <c r="Z53" s="44"/>
    </row>
    <row r="54" spans="2:26">
      <c r="B54" s="44"/>
      <c r="C54" s="44"/>
      <c r="D54" s="44"/>
      <c r="E54" s="44"/>
      <c r="F54" s="44"/>
      <c r="G54" s="44"/>
      <c r="H54" s="44"/>
      <c r="I54" s="44"/>
      <c r="J54" s="44"/>
      <c r="K54" s="44"/>
      <c r="L54" s="44"/>
      <c r="M54" s="44"/>
      <c r="N54" s="44"/>
      <c r="O54" s="44"/>
      <c r="P54" s="44"/>
      <c r="Q54" s="44"/>
      <c r="R54" s="29"/>
      <c r="S54" s="29"/>
      <c r="T54" s="29"/>
      <c r="U54" s="44"/>
      <c r="V54" s="44"/>
      <c r="W54" s="44"/>
      <c r="X54" s="44"/>
      <c r="Y54" s="44"/>
      <c r="Z54" s="44"/>
    </row>
    <row r="55" spans="2:26">
      <c r="B55" s="44"/>
      <c r="C55" s="44"/>
      <c r="D55" s="44"/>
      <c r="E55" s="44"/>
      <c r="F55" s="44"/>
      <c r="G55" s="44"/>
      <c r="H55" s="44"/>
      <c r="I55" s="44"/>
      <c r="J55" s="44"/>
      <c r="K55" s="44"/>
      <c r="L55" s="44"/>
      <c r="M55" s="44"/>
      <c r="N55" s="44"/>
      <c r="O55" s="44"/>
      <c r="P55" s="44"/>
      <c r="Q55" s="44"/>
      <c r="R55" s="29"/>
      <c r="S55" s="29"/>
      <c r="T55" s="29"/>
      <c r="U55" s="44"/>
      <c r="V55" s="44"/>
      <c r="W55" s="44"/>
      <c r="X55" s="44"/>
      <c r="Y55" s="44"/>
      <c r="Z55" s="44"/>
    </row>
    <row r="56" spans="2:26">
      <c r="B56" s="44"/>
      <c r="C56" s="44"/>
      <c r="D56" s="44"/>
      <c r="E56" s="44"/>
      <c r="F56" s="44"/>
      <c r="G56" s="44"/>
      <c r="H56" s="44"/>
      <c r="I56" s="44"/>
      <c r="J56" s="44"/>
      <c r="K56" s="44"/>
      <c r="L56" s="44"/>
      <c r="M56" s="44"/>
      <c r="N56" s="44"/>
      <c r="O56" s="44"/>
      <c r="P56" s="44"/>
      <c r="Q56" s="44"/>
      <c r="R56" s="29"/>
      <c r="S56" s="29"/>
      <c r="T56" s="29"/>
      <c r="U56" s="44"/>
      <c r="V56" s="44"/>
      <c r="W56" s="44"/>
      <c r="X56" s="44"/>
      <c r="Y56" s="44"/>
      <c r="Z56" s="44"/>
    </row>
    <row r="57" spans="2:26">
      <c r="B57" s="44"/>
      <c r="C57" s="44"/>
      <c r="D57" s="44"/>
      <c r="E57" s="44"/>
      <c r="F57" s="44"/>
      <c r="G57" s="44"/>
      <c r="H57" s="44"/>
      <c r="I57" s="44"/>
      <c r="J57" s="44"/>
      <c r="K57" s="44"/>
      <c r="L57" s="44"/>
      <c r="M57" s="44"/>
      <c r="N57" s="44"/>
      <c r="O57" s="44"/>
      <c r="P57" s="44"/>
      <c r="Q57" s="44"/>
      <c r="R57" s="29"/>
      <c r="S57" s="29"/>
      <c r="T57" s="29"/>
      <c r="U57" s="44"/>
      <c r="V57" s="44"/>
      <c r="W57" s="44"/>
      <c r="X57" s="44"/>
      <c r="Y57" s="44"/>
      <c r="Z57" s="44"/>
    </row>
    <row r="58" spans="2:26">
      <c r="B58" s="44"/>
      <c r="C58" s="44"/>
      <c r="D58" s="44"/>
      <c r="E58" s="44"/>
      <c r="F58" s="44"/>
      <c r="G58" s="44"/>
      <c r="H58" s="44"/>
      <c r="I58" s="44"/>
      <c r="J58" s="44"/>
      <c r="K58" s="44"/>
      <c r="L58" s="44"/>
      <c r="M58" s="44"/>
      <c r="N58" s="44"/>
      <c r="O58" s="44"/>
      <c r="P58" s="44"/>
      <c r="Q58" s="44"/>
      <c r="R58" s="29"/>
      <c r="S58" s="29"/>
      <c r="T58" s="29"/>
      <c r="U58" s="44"/>
      <c r="V58" s="44"/>
      <c r="W58" s="44"/>
      <c r="X58" s="44"/>
      <c r="Y58" s="44"/>
      <c r="Z58" s="44"/>
    </row>
    <row r="59" spans="2:26">
      <c r="B59" s="44"/>
      <c r="C59" s="44"/>
      <c r="D59" s="44"/>
      <c r="E59" s="44"/>
      <c r="F59" s="44"/>
      <c r="G59" s="44"/>
      <c r="H59" s="44"/>
      <c r="I59" s="44"/>
      <c r="J59" s="44"/>
      <c r="K59" s="44"/>
      <c r="L59" s="44"/>
      <c r="M59" s="44"/>
      <c r="N59" s="44"/>
      <c r="O59" s="44"/>
      <c r="P59" s="44"/>
      <c r="Q59" s="44"/>
      <c r="R59" s="29"/>
      <c r="S59" s="29"/>
      <c r="T59" s="29"/>
      <c r="U59" s="44"/>
      <c r="V59" s="44"/>
      <c r="W59" s="44"/>
      <c r="X59" s="44"/>
      <c r="Y59" s="44"/>
      <c r="Z59" s="44"/>
    </row>
    <row r="60" spans="2:26">
      <c r="B60" s="44"/>
      <c r="C60" s="44"/>
      <c r="D60" s="44"/>
      <c r="E60" s="44"/>
      <c r="F60" s="44"/>
      <c r="G60" s="44"/>
      <c r="H60" s="44"/>
      <c r="I60" s="44"/>
      <c r="J60" s="44"/>
      <c r="K60" s="44"/>
      <c r="L60" s="44"/>
      <c r="M60" s="44"/>
      <c r="N60" s="44"/>
      <c r="O60" s="44"/>
      <c r="P60" s="44"/>
      <c r="Q60" s="44"/>
      <c r="R60" s="29"/>
      <c r="S60" s="29"/>
      <c r="T60" s="29"/>
      <c r="U60" s="44"/>
      <c r="V60" s="44"/>
      <c r="W60" s="44"/>
      <c r="X60" s="44"/>
      <c r="Y60" s="44"/>
      <c r="Z60" s="44"/>
    </row>
    <row r="61" spans="2:26">
      <c r="B61" s="44"/>
      <c r="C61" s="44"/>
      <c r="D61" s="44"/>
      <c r="E61" s="44"/>
      <c r="F61" s="44"/>
      <c r="G61" s="44"/>
      <c r="H61" s="44"/>
      <c r="I61" s="44"/>
      <c r="J61" s="44"/>
      <c r="K61" s="44"/>
      <c r="L61" s="44"/>
      <c r="M61" s="44"/>
      <c r="N61" s="44"/>
      <c r="O61" s="44"/>
      <c r="P61" s="44"/>
      <c r="Q61" s="44"/>
      <c r="R61" s="29"/>
      <c r="S61" s="29"/>
      <c r="T61" s="29"/>
      <c r="U61" s="44"/>
      <c r="V61" s="44"/>
      <c r="W61" s="44"/>
      <c r="X61" s="44"/>
      <c r="Y61" s="44"/>
      <c r="Z61" s="44"/>
    </row>
    <row r="62" spans="2:26">
      <c r="B62" s="44"/>
      <c r="C62" s="44"/>
      <c r="D62" s="44"/>
      <c r="E62" s="44"/>
      <c r="F62" s="44"/>
      <c r="G62" s="44"/>
      <c r="H62" s="44"/>
      <c r="I62" s="44"/>
      <c r="J62" s="44"/>
      <c r="K62" s="44"/>
      <c r="L62" s="44"/>
      <c r="M62" s="44"/>
      <c r="N62" s="44"/>
      <c r="O62" s="44"/>
      <c r="P62" s="44"/>
      <c r="Q62" s="44"/>
      <c r="R62" s="29"/>
      <c r="S62" s="29"/>
      <c r="T62" s="29"/>
      <c r="U62" s="44"/>
      <c r="V62" s="44"/>
      <c r="W62" s="44"/>
      <c r="X62" s="44"/>
      <c r="Y62" s="44"/>
      <c r="Z62" s="44"/>
    </row>
    <row r="63" spans="2:26">
      <c r="R63" s="29"/>
      <c r="S63" s="29"/>
      <c r="T63" s="29"/>
    </row>
    <row r="64" spans="2:26">
      <c r="R64" s="29"/>
      <c r="S64" s="29"/>
      <c r="T64" s="29"/>
    </row>
    <row r="65" spans="18:20">
      <c r="R65" s="44"/>
      <c r="S65" s="44"/>
      <c r="T65" s="44"/>
    </row>
    <row r="66" spans="18:20">
      <c r="R66" s="44"/>
      <c r="S66" s="44"/>
      <c r="T66" s="44"/>
    </row>
    <row r="67" spans="18:20">
      <c r="R67" s="44"/>
      <c r="S67" s="44"/>
      <c r="T67" s="44"/>
    </row>
    <row r="68" spans="18:20">
      <c r="R68" s="44"/>
      <c r="S68" s="44"/>
      <c r="T68" s="44"/>
    </row>
    <row r="69" spans="18:20">
      <c r="R69" s="44"/>
      <c r="S69" s="44"/>
      <c r="T69" s="44"/>
    </row>
    <row r="70" spans="18:20">
      <c r="R70" s="44"/>
      <c r="S70" s="44"/>
      <c r="T70" s="44"/>
    </row>
    <row r="71" spans="18:20">
      <c r="R71" s="44"/>
      <c r="S71" s="44"/>
      <c r="T71" s="44"/>
    </row>
    <row r="72" spans="18:20">
      <c r="R72" s="44"/>
      <c r="S72" s="44"/>
      <c r="T72" s="44"/>
    </row>
    <row r="73" spans="18:20">
      <c r="R73" s="44"/>
      <c r="S73" s="44"/>
      <c r="T73" s="44"/>
    </row>
    <row r="74" spans="18:20">
      <c r="R74" s="44"/>
      <c r="S74" s="44"/>
      <c r="T74" s="44"/>
    </row>
    <row r="75" spans="18:20">
      <c r="R75" s="44"/>
      <c r="S75" s="44"/>
      <c r="T75" s="44"/>
    </row>
    <row r="76" spans="18:20">
      <c r="R76" s="44"/>
      <c r="S76" s="44"/>
      <c r="T76" s="44"/>
    </row>
    <row r="77" spans="18:20">
      <c r="R77" s="44"/>
      <c r="S77" s="44"/>
      <c r="T77" s="44"/>
    </row>
    <row r="78" spans="18:20">
      <c r="R78" s="44"/>
      <c r="S78" s="44"/>
      <c r="T78" s="44"/>
    </row>
    <row r="79" spans="18:20">
      <c r="R79" s="44"/>
      <c r="S79" s="44"/>
      <c r="T79" s="44"/>
    </row>
    <row r="80" spans="18:20">
      <c r="R80" s="44"/>
      <c r="S80" s="44"/>
      <c r="T80" s="44"/>
    </row>
    <row r="81" spans="18:20">
      <c r="R81" s="44"/>
      <c r="S81" s="44"/>
      <c r="T81" s="44"/>
    </row>
    <row r="82" spans="18:20">
      <c r="R82" s="44"/>
      <c r="S82" s="44"/>
      <c r="T82" s="44"/>
    </row>
    <row r="83" spans="18:20">
      <c r="R83" s="44"/>
      <c r="S83" s="44"/>
      <c r="T83" s="44"/>
    </row>
    <row r="84" spans="18:20">
      <c r="R84" s="44"/>
      <c r="S84" s="44"/>
      <c r="T84" s="44"/>
    </row>
    <row r="85" spans="18:20">
      <c r="R85" s="44"/>
      <c r="S85" s="44"/>
      <c r="T85" s="44"/>
    </row>
    <row r="86" spans="18:20">
      <c r="R86" s="44"/>
      <c r="S86" s="44"/>
      <c r="T86" s="44"/>
    </row>
    <row r="87" spans="18:20">
      <c r="R87" s="44"/>
      <c r="S87" s="44"/>
      <c r="T87" s="44"/>
    </row>
    <row r="88" spans="18:20">
      <c r="R88" s="44"/>
      <c r="S88" s="44"/>
      <c r="T88" s="44"/>
    </row>
    <row r="89" spans="18:20">
      <c r="R89" s="44"/>
      <c r="S89" s="44"/>
      <c r="T89" s="44"/>
    </row>
    <row r="90" spans="18:20">
      <c r="R90" s="44"/>
      <c r="S90" s="44"/>
      <c r="T90" s="44"/>
    </row>
    <row r="91" spans="18:20">
      <c r="R91" s="44"/>
      <c r="S91" s="44"/>
      <c r="T91" s="44"/>
    </row>
    <row r="92" spans="18:20">
      <c r="R92" s="44"/>
      <c r="S92" s="44"/>
      <c r="T92" s="44"/>
    </row>
    <row r="93" spans="18:20">
      <c r="R93" s="44"/>
      <c r="S93" s="44"/>
      <c r="T93" s="44"/>
    </row>
    <row r="94" spans="18:20">
      <c r="R94" s="44"/>
      <c r="S94" s="44"/>
      <c r="T94" s="44"/>
    </row>
    <row r="95" spans="18:20">
      <c r="R95" s="44"/>
      <c r="S95" s="44"/>
      <c r="T95" s="44"/>
    </row>
    <row r="96" spans="18:20">
      <c r="R96" s="44"/>
      <c r="S96" s="44"/>
      <c r="T96" s="44"/>
    </row>
    <row r="97" spans="18:20">
      <c r="R97" s="44"/>
      <c r="S97" s="44"/>
      <c r="T97" s="44"/>
    </row>
    <row r="98" spans="18:20">
      <c r="R98" s="44"/>
      <c r="S98" s="44"/>
      <c r="T98" s="44"/>
    </row>
    <row r="99" spans="18:20">
      <c r="R99" s="44"/>
      <c r="S99" s="44"/>
      <c r="T99" s="44"/>
    </row>
    <row r="100" spans="18:20">
      <c r="R100" s="44"/>
      <c r="S100" s="44"/>
      <c r="T100" s="44"/>
    </row>
    <row r="101" spans="18:20">
      <c r="R101" s="44"/>
      <c r="S101" s="44"/>
      <c r="T101" s="44"/>
    </row>
    <row r="102" spans="18:20">
      <c r="R102" s="44"/>
      <c r="S102" s="44"/>
      <c r="T102" s="44"/>
    </row>
    <row r="103" spans="18:20">
      <c r="R103" s="44"/>
      <c r="S103" s="44"/>
      <c r="T103" s="44"/>
    </row>
    <row r="104" spans="18:20">
      <c r="R104" s="44"/>
      <c r="S104" s="44"/>
      <c r="T104" s="44"/>
    </row>
    <row r="105" spans="18:20">
      <c r="R105" s="44"/>
      <c r="S105" s="44"/>
      <c r="T105" s="44"/>
    </row>
    <row r="106" spans="18:20">
      <c r="R106" s="44"/>
      <c r="S106" s="44"/>
      <c r="T106" s="44"/>
    </row>
    <row r="107" spans="18:20">
      <c r="R107" s="44"/>
      <c r="S107" s="44"/>
      <c r="T107" s="44"/>
    </row>
    <row r="108" spans="18:20">
      <c r="R108" s="44"/>
      <c r="S108" s="44"/>
      <c r="T108" s="44"/>
    </row>
    <row r="109" spans="18:20">
      <c r="R109" s="44"/>
      <c r="S109" s="44"/>
      <c r="T109" s="44"/>
    </row>
    <row r="110" spans="18:20">
      <c r="R110" s="44"/>
      <c r="S110" s="44"/>
      <c r="T110" s="44"/>
    </row>
    <row r="111" spans="18:20">
      <c r="R111" s="44"/>
      <c r="S111" s="44"/>
      <c r="T111" s="44"/>
    </row>
    <row r="112" spans="18:20">
      <c r="R112" s="44"/>
      <c r="S112" s="44"/>
      <c r="T112" s="44"/>
    </row>
    <row r="113" spans="18:20">
      <c r="R113" s="44"/>
      <c r="S113" s="44"/>
      <c r="T113" s="44"/>
    </row>
    <row r="114" spans="18:20">
      <c r="R114" s="44"/>
      <c r="S114" s="44"/>
      <c r="T114" s="44"/>
    </row>
    <row r="115" spans="18:20">
      <c r="R115" s="44"/>
      <c r="S115" s="44"/>
      <c r="T115" s="44"/>
    </row>
    <row r="116" spans="18:20">
      <c r="R116" s="44"/>
      <c r="S116" s="44"/>
      <c r="T116" s="44"/>
    </row>
    <row r="117" spans="18:20">
      <c r="R117" s="44"/>
      <c r="S117" s="44"/>
      <c r="T117" s="44"/>
    </row>
    <row r="118" spans="18:20">
      <c r="R118" s="44"/>
      <c r="S118" s="44"/>
      <c r="T118" s="44"/>
    </row>
    <row r="119" spans="18:20">
      <c r="R119" s="44"/>
      <c r="S119" s="44"/>
      <c r="T119" s="44"/>
    </row>
    <row r="120" spans="18:20">
      <c r="R120" s="44"/>
      <c r="S120" s="44"/>
      <c r="T120" s="44"/>
    </row>
    <row r="121" spans="18:20">
      <c r="R121" s="44"/>
      <c r="S121" s="44"/>
      <c r="T121" s="44"/>
    </row>
    <row r="122" spans="18:20">
      <c r="R122" s="44"/>
      <c r="S122" s="44"/>
      <c r="T122" s="44"/>
    </row>
    <row r="123" spans="18:20">
      <c r="R123" s="44"/>
      <c r="S123" s="44"/>
      <c r="T123" s="44"/>
    </row>
    <row r="124" spans="18:20">
      <c r="R124" s="44"/>
      <c r="S124" s="44"/>
      <c r="T124" s="44"/>
    </row>
    <row r="125" spans="18:20">
      <c r="R125" s="44"/>
      <c r="S125" s="44"/>
      <c r="T125" s="44"/>
    </row>
    <row r="126" spans="18:20">
      <c r="R126" s="44"/>
      <c r="S126" s="44"/>
      <c r="T126" s="44"/>
    </row>
    <row r="127" spans="18:20">
      <c r="R127" s="44"/>
      <c r="S127" s="44"/>
      <c r="T127" s="44"/>
    </row>
    <row r="128" spans="18:20">
      <c r="R128" s="44"/>
      <c r="S128" s="44"/>
      <c r="T128" s="44"/>
    </row>
    <row r="129" spans="18:20">
      <c r="R129" s="44"/>
      <c r="S129" s="44"/>
      <c r="T129" s="44"/>
    </row>
    <row r="130" spans="18:20">
      <c r="R130" s="44"/>
      <c r="S130" s="44"/>
      <c r="T130" s="44"/>
    </row>
    <row r="131" spans="18:20">
      <c r="R131" s="44"/>
      <c r="S131" s="44"/>
      <c r="T131" s="44"/>
    </row>
    <row r="132" spans="18:20">
      <c r="R132" s="44"/>
      <c r="S132" s="44"/>
      <c r="T132" s="44"/>
    </row>
    <row r="133" spans="18:20">
      <c r="R133" s="44"/>
      <c r="S133" s="44"/>
      <c r="T133" s="44"/>
    </row>
    <row r="134" spans="18:20">
      <c r="R134" s="44"/>
      <c r="S134" s="44"/>
      <c r="T134" s="44"/>
    </row>
    <row r="135" spans="18:20">
      <c r="R135" s="44"/>
      <c r="S135" s="44"/>
      <c r="T135" s="44"/>
    </row>
    <row r="136" spans="18:20">
      <c r="R136" s="44"/>
      <c r="S136" s="44"/>
      <c r="T136" s="44"/>
    </row>
    <row r="137" spans="18:20">
      <c r="R137" s="44"/>
      <c r="S137" s="44"/>
      <c r="T137" s="44"/>
    </row>
    <row r="138" spans="18:20">
      <c r="R138" s="44"/>
      <c r="S138" s="44"/>
      <c r="T138" s="44"/>
    </row>
  </sheetData>
  <mergeCells count="4">
    <mergeCell ref="D5:F5"/>
    <mergeCell ref="H5:P5"/>
    <mergeCell ref="D6:F6"/>
    <mergeCell ref="H6:P6"/>
  </mergeCells>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1FAF4-D2C8-4FB7-8396-6B75EE2B16F1}">
  <sheetPr codeName="Sheet17">
    <tabColor theme="7" tint="0.79998168889431442"/>
  </sheetPr>
  <dimension ref="A2:AC138"/>
  <sheetViews>
    <sheetView showGridLines="0" zoomScaleNormal="100" workbookViewId="0"/>
  </sheetViews>
  <sheetFormatPr defaultRowHeight="15"/>
  <cols>
    <col min="1" max="1" width="2.54296875" customWidth="1"/>
    <col min="2" max="3" width="22.81640625" customWidth="1"/>
    <col min="4" max="4" width="7.1796875" bestFit="1" customWidth="1"/>
    <col min="5" max="5" width="5.1796875" customWidth="1"/>
    <col min="6" max="6" width="4.453125" customWidth="1"/>
    <col min="7" max="7" width="15.36328125" bestFit="1" customWidth="1"/>
    <col min="8" max="8" width="4.453125" customWidth="1"/>
    <col min="9" max="9" width="3.08984375" bestFit="1" customWidth="1"/>
    <col min="10" max="10" width="3.1796875" bestFit="1" customWidth="1"/>
    <col min="11" max="11" width="3" bestFit="1" customWidth="1"/>
    <col min="12" max="12" width="12" bestFit="1" customWidth="1"/>
    <col min="13" max="13" width="4.453125" customWidth="1"/>
    <col min="14" max="14" width="30.453125" customWidth="1"/>
    <col min="15" max="15" width="27.36328125" customWidth="1"/>
    <col min="16" max="16" width="33.36328125" customWidth="1"/>
    <col min="17" max="17" width="2.36328125" customWidth="1"/>
    <col min="18" max="19" width="6.54296875" customWidth="1"/>
    <col min="20" max="20" width="15.1796875" customWidth="1"/>
    <col min="21" max="21" width="6.54296875" customWidth="1"/>
    <col min="22" max="27" width="20.6328125" customWidth="1"/>
  </cols>
  <sheetData>
    <row r="2" spans="1:29">
      <c r="A2" s="6"/>
      <c r="B2" s="7" t="s">
        <v>38</v>
      </c>
      <c r="C2" s="6"/>
      <c r="D2" s="6"/>
      <c r="E2" s="6"/>
      <c r="F2" s="6"/>
      <c r="G2" s="6"/>
      <c r="H2" s="6"/>
      <c r="I2" s="6"/>
      <c r="J2" s="6"/>
      <c r="K2" s="6"/>
      <c r="L2" s="6"/>
      <c r="M2" s="6"/>
      <c r="N2" s="6"/>
      <c r="O2" s="6"/>
      <c r="P2" s="6"/>
      <c r="Q2" s="6"/>
      <c r="R2" s="6"/>
      <c r="S2" s="6"/>
      <c r="T2" s="6"/>
      <c r="U2" s="6"/>
      <c r="V2" s="6"/>
      <c r="W2" s="6"/>
      <c r="X2" s="6"/>
      <c r="Y2" s="6"/>
      <c r="Z2" s="6"/>
      <c r="AA2" s="6"/>
      <c r="AB2" s="6"/>
      <c r="AC2" s="6"/>
    </row>
    <row r="3" spans="1:29" ht="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5" spans="1:29">
      <c r="B5" s="8" t="s">
        <v>30</v>
      </c>
      <c r="C5" s="8" t="s">
        <v>31</v>
      </c>
      <c r="D5" s="234" t="s">
        <v>37</v>
      </c>
      <c r="E5" s="235"/>
      <c r="F5" s="236"/>
      <c r="G5" s="8" t="s">
        <v>74</v>
      </c>
      <c r="H5" s="234" t="s">
        <v>85</v>
      </c>
      <c r="I5" s="235"/>
      <c r="J5" s="235"/>
      <c r="K5" s="235"/>
      <c r="L5" s="235"/>
      <c r="M5" s="235"/>
      <c r="N5" s="235"/>
      <c r="O5" s="235"/>
      <c r="P5" s="236"/>
      <c r="R5" t="s">
        <v>1859</v>
      </c>
    </row>
    <row r="6" spans="1:29">
      <c r="B6" s="30" t="s">
        <v>957</v>
      </c>
      <c r="C6" s="30" t="s">
        <v>101</v>
      </c>
      <c r="D6" s="237" t="s">
        <v>93</v>
      </c>
      <c r="E6" s="238"/>
      <c r="F6" s="239"/>
      <c r="G6" s="45" t="s">
        <v>75</v>
      </c>
      <c r="H6" s="240"/>
      <c r="I6" s="241"/>
      <c r="J6" s="241"/>
      <c r="K6" s="241"/>
      <c r="L6" s="241"/>
      <c r="M6" s="241"/>
      <c r="N6" s="241"/>
      <c r="O6" s="241"/>
      <c r="P6" s="242"/>
      <c r="R6" t="s">
        <v>1862</v>
      </c>
      <c r="V6" t="s">
        <v>109</v>
      </c>
    </row>
    <row r="7" spans="1:29">
      <c r="R7" t="s">
        <v>1863</v>
      </c>
    </row>
    <row r="8" spans="1:29">
      <c r="B8" s="8" t="s">
        <v>32</v>
      </c>
      <c r="C8" s="8" t="s">
        <v>33</v>
      </c>
      <c r="D8" s="8" t="s">
        <v>34</v>
      </c>
      <c r="E8" s="13" t="s">
        <v>10</v>
      </c>
      <c r="F8" s="9" t="s">
        <v>23</v>
      </c>
      <c r="G8" s="9" t="s">
        <v>24</v>
      </c>
      <c r="H8" s="9" t="s">
        <v>25</v>
      </c>
      <c r="I8" s="9" t="s">
        <v>26</v>
      </c>
      <c r="J8" s="9" t="s">
        <v>27</v>
      </c>
      <c r="K8" s="9" t="s">
        <v>28</v>
      </c>
      <c r="L8" s="9" t="s">
        <v>29</v>
      </c>
      <c r="M8" s="9" t="s">
        <v>11</v>
      </c>
      <c r="N8" s="8" t="s">
        <v>35</v>
      </c>
      <c r="O8" s="8" t="s">
        <v>36</v>
      </c>
      <c r="P8" s="8" t="s">
        <v>12</v>
      </c>
      <c r="R8" s="88" t="s">
        <v>1858</v>
      </c>
      <c r="S8" s="88" t="s">
        <v>1866</v>
      </c>
      <c r="T8" s="88" t="s">
        <v>155</v>
      </c>
      <c r="V8" s="8" t="s">
        <v>1029</v>
      </c>
      <c r="W8" s="8" t="s">
        <v>1030</v>
      </c>
      <c r="X8" s="8" t="s">
        <v>1031</v>
      </c>
      <c r="Y8" s="8" t="s">
        <v>1032</v>
      </c>
      <c r="Z8" s="8" t="s">
        <v>1033</v>
      </c>
      <c r="AA8" s="8" t="s">
        <v>1034</v>
      </c>
    </row>
    <row r="9" spans="1:29">
      <c r="B9" s="46" t="s">
        <v>39</v>
      </c>
      <c r="C9" s="46" t="s">
        <v>422</v>
      </c>
      <c r="D9" s="46" t="s">
        <v>64</v>
      </c>
      <c r="E9" s="47">
        <v>8</v>
      </c>
      <c r="F9" s="47"/>
      <c r="G9" s="46" t="s">
        <v>958</v>
      </c>
      <c r="H9" s="46"/>
      <c r="I9" s="47" t="s">
        <v>959</v>
      </c>
      <c r="J9" s="47"/>
      <c r="K9" s="47"/>
      <c r="L9" s="46"/>
      <c r="M9" s="46" t="s">
        <v>14</v>
      </c>
      <c r="N9" s="48"/>
      <c r="O9" s="49"/>
      <c r="P9" s="68"/>
      <c r="Q9" s="50"/>
      <c r="R9" s="162" t="s">
        <v>136</v>
      </c>
      <c r="S9" s="162" t="s">
        <v>136</v>
      </c>
      <c r="T9" s="159"/>
      <c r="U9" s="50"/>
      <c r="V9" s="248" t="s">
        <v>1011</v>
      </c>
      <c r="W9" s="285"/>
      <c r="X9" s="285"/>
      <c r="Y9" s="285"/>
      <c r="Z9" s="285"/>
      <c r="AA9" s="286"/>
    </row>
    <row r="10" spans="1:29" ht="37.799999999999997">
      <c r="B10" s="46" t="s">
        <v>872</v>
      </c>
      <c r="C10" s="46" t="s">
        <v>873</v>
      </c>
      <c r="D10" s="46" t="s">
        <v>13</v>
      </c>
      <c r="E10" s="47">
        <v>20</v>
      </c>
      <c r="F10" s="47"/>
      <c r="G10" s="46"/>
      <c r="H10" s="46"/>
      <c r="I10" s="47"/>
      <c r="J10" s="47"/>
      <c r="K10" s="47"/>
      <c r="L10" s="46" t="s">
        <v>960</v>
      </c>
      <c r="M10" s="46"/>
      <c r="N10" s="48"/>
      <c r="O10" s="48" t="s">
        <v>989</v>
      </c>
      <c r="P10" s="68"/>
      <c r="Q10" s="50"/>
      <c r="R10" s="162" t="s">
        <v>136</v>
      </c>
      <c r="S10" s="162" t="s">
        <v>136</v>
      </c>
      <c r="T10" s="159"/>
      <c r="U10" s="50"/>
      <c r="V10" s="248" t="s">
        <v>1012</v>
      </c>
      <c r="W10" s="285"/>
      <c r="X10" s="285"/>
      <c r="Y10" s="285"/>
      <c r="Z10" s="285"/>
      <c r="AA10" s="286"/>
    </row>
    <row r="11" spans="1:29" ht="126">
      <c r="B11" s="46" t="s">
        <v>961</v>
      </c>
      <c r="C11" s="46" t="s">
        <v>962</v>
      </c>
      <c r="D11" s="46" t="s">
        <v>13</v>
      </c>
      <c r="E11" s="47">
        <v>50</v>
      </c>
      <c r="F11" s="47"/>
      <c r="G11" s="46"/>
      <c r="H11" s="46"/>
      <c r="I11" s="47"/>
      <c r="J11" s="47"/>
      <c r="K11" s="47"/>
      <c r="L11" s="46" t="s">
        <v>434</v>
      </c>
      <c r="M11" s="46"/>
      <c r="N11" s="48"/>
      <c r="O11" s="48" t="s">
        <v>980</v>
      </c>
      <c r="P11" s="68"/>
      <c r="Q11" s="50"/>
      <c r="R11" s="162" t="s">
        <v>136</v>
      </c>
      <c r="S11" s="162" t="s">
        <v>136</v>
      </c>
      <c r="T11" s="159"/>
      <c r="U11" s="50"/>
      <c r="V11" s="47" t="s">
        <v>1005</v>
      </c>
      <c r="W11" s="47" t="s">
        <v>1006</v>
      </c>
      <c r="X11" s="47" t="s">
        <v>1007</v>
      </c>
      <c r="Y11" s="47" t="s">
        <v>1008</v>
      </c>
      <c r="Z11" s="47" t="s">
        <v>1009</v>
      </c>
      <c r="AA11" s="47" t="s">
        <v>1010</v>
      </c>
    </row>
    <row r="12" spans="1:29" ht="25.2">
      <c r="B12" s="46" t="s">
        <v>532</v>
      </c>
      <c r="C12" s="46" t="s">
        <v>533</v>
      </c>
      <c r="D12" s="46" t="s">
        <v>13</v>
      </c>
      <c r="E12" s="47">
        <v>50</v>
      </c>
      <c r="F12" s="47"/>
      <c r="G12" s="46"/>
      <c r="H12" s="46"/>
      <c r="I12" s="47"/>
      <c r="J12" s="47"/>
      <c r="K12" s="47"/>
      <c r="L12" s="46" t="s">
        <v>434</v>
      </c>
      <c r="M12" s="46"/>
      <c r="N12" s="68" t="s">
        <v>994</v>
      </c>
      <c r="O12" s="48" t="s">
        <v>995</v>
      </c>
      <c r="P12" s="68"/>
      <c r="Q12" s="50"/>
      <c r="R12" s="162" t="s">
        <v>136</v>
      </c>
      <c r="S12" s="162" t="s">
        <v>136</v>
      </c>
      <c r="T12" s="159"/>
      <c r="U12" s="50"/>
      <c r="V12" s="248" t="s">
        <v>532</v>
      </c>
      <c r="W12" s="285"/>
      <c r="X12" s="285"/>
      <c r="Y12" s="285"/>
      <c r="Z12" s="285"/>
      <c r="AA12" s="286"/>
    </row>
    <row r="13" spans="1:29">
      <c r="B13" s="46" t="s">
        <v>963</v>
      </c>
      <c r="C13" s="46" t="s">
        <v>866</v>
      </c>
      <c r="D13" s="46" t="s">
        <v>13</v>
      </c>
      <c r="E13" s="47">
        <v>50</v>
      </c>
      <c r="F13" s="47"/>
      <c r="G13" s="46"/>
      <c r="H13" s="46"/>
      <c r="I13" s="47"/>
      <c r="J13" s="47"/>
      <c r="K13" s="47"/>
      <c r="L13" s="46" t="s">
        <v>315</v>
      </c>
      <c r="M13" s="46"/>
      <c r="N13" s="68" t="s">
        <v>992</v>
      </c>
      <c r="O13" s="49"/>
      <c r="P13" s="68"/>
      <c r="Q13" s="50"/>
      <c r="R13" s="162" t="s">
        <v>136</v>
      </c>
      <c r="S13" s="162" t="s">
        <v>136</v>
      </c>
      <c r="T13" s="159"/>
      <c r="U13" s="50"/>
      <c r="V13" s="248" t="s">
        <v>1013</v>
      </c>
      <c r="W13" s="285"/>
      <c r="X13" s="285"/>
      <c r="Y13" s="286"/>
      <c r="Z13" s="47" t="s">
        <v>963</v>
      </c>
      <c r="AA13" s="47" t="s">
        <v>1014</v>
      </c>
    </row>
    <row r="14" spans="1:29">
      <c r="B14" s="46" t="s">
        <v>536</v>
      </c>
      <c r="C14" s="46" t="s">
        <v>537</v>
      </c>
      <c r="D14" s="46" t="s">
        <v>13</v>
      </c>
      <c r="E14" s="47">
        <v>50</v>
      </c>
      <c r="F14" s="47"/>
      <c r="G14" s="46"/>
      <c r="H14" s="46"/>
      <c r="I14" s="47"/>
      <c r="J14" s="47"/>
      <c r="K14" s="47"/>
      <c r="L14" s="46" t="s">
        <v>315</v>
      </c>
      <c r="M14" s="46"/>
      <c r="N14" s="49"/>
      <c r="O14" s="49"/>
      <c r="P14" s="68"/>
      <c r="Q14" s="50"/>
      <c r="R14" s="162" t="s">
        <v>136</v>
      </c>
      <c r="S14" s="162" t="s">
        <v>136</v>
      </c>
      <c r="T14" s="159"/>
      <c r="U14" s="50"/>
      <c r="V14" s="248" t="s">
        <v>536</v>
      </c>
      <c r="W14" s="285"/>
      <c r="X14" s="285"/>
      <c r="Y14" s="285"/>
      <c r="Z14" s="285"/>
      <c r="AA14" s="286"/>
    </row>
    <row r="15" spans="1:29">
      <c r="B15" s="46" t="s">
        <v>964</v>
      </c>
      <c r="C15" s="46" t="s">
        <v>965</v>
      </c>
      <c r="D15" s="46" t="s">
        <v>13</v>
      </c>
      <c r="E15" s="47">
        <v>255</v>
      </c>
      <c r="F15" s="47"/>
      <c r="G15" s="46"/>
      <c r="H15" s="46"/>
      <c r="I15" s="47"/>
      <c r="J15" s="47"/>
      <c r="K15" s="47"/>
      <c r="L15" s="46" t="s">
        <v>194</v>
      </c>
      <c r="M15" s="46"/>
      <c r="N15" s="68" t="s">
        <v>993</v>
      </c>
      <c r="O15" s="49"/>
      <c r="P15" s="68"/>
      <c r="Q15" s="50"/>
      <c r="R15" s="162" t="s">
        <v>136</v>
      </c>
      <c r="S15" s="162" t="s">
        <v>136</v>
      </c>
      <c r="T15" s="159"/>
      <c r="U15" s="50"/>
      <c r="V15" s="248" t="s">
        <v>964</v>
      </c>
      <c r="W15" s="286"/>
      <c r="X15" s="47" t="s">
        <v>1013</v>
      </c>
      <c r="Y15" s="47" t="s">
        <v>964</v>
      </c>
      <c r="Z15" s="248" t="s">
        <v>1015</v>
      </c>
      <c r="AA15" s="286"/>
    </row>
    <row r="16" spans="1:29" ht="75.599999999999994">
      <c r="B16" s="64" t="s">
        <v>65</v>
      </c>
      <c r="C16" s="64" t="s">
        <v>67</v>
      </c>
      <c r="D16" s="64" t="s">
        <v>47</v>
      </c>
      <c r="E16" s="65">
        <v>512</v>
      </c>
      <c r="F16" s="47"/>
      <c r="G16" s="46"/>
      <c r="H16" s="46"/>
      <c r="I16" s="47"/>
      <c r="J16" s="47"/>
      <c r="K16" s="47"/>
      <c r="L16" s="46" t="s">
        <v>611</v>
      </c>
      <c r="M16" s="46"/>
      <c r="N16" s="66" t="s">
        <v>612</v>
      </c>
      <c r="O16" s="49"/>
      <c r="P16" s="49"/>
      <c r="Q16" s="50"/>
      <c r="R16" s="162" t="s">
        <v>136</v>
      </c>
      <c r="S16" s="162" t="s">
        <v>136</v>
      </c>
      <c r="T16" s="159"/>
      <c r="U16" s="50"/>
      <c r="V16" s="248" t="s">
        <v>572</v>
      </c>
      <c r="W16" s="285"/>
      <c r="X16" s="285"/>
      <c r="Y16" s="285"/>
      <c r="Z16" s="285"/>
      <c r="AA16" s="286"/>
    </row>
    <row r="17" spans="2:27">
      <c r="B17" s="64" t="s">
        <v>573</v>
      </c>
      <c r="C17" s="64" t="s">
        <v>575</v>
      </c>
      <c r="D17" s="64" t="s">
        <v>47</v>
      </c>
      <c r="E17" s="65">
        <v>100</v>
      </c>
      <c r="F17" s="47"/>
      <c r="G17" s="46"/>
      <c r="H17" s="46"/>
      <c r="I17" s="47"/>
      <c r="J17" s="47"/>
      <c r="K17" s="47"/>
      <c r="L17" s="46" t="s">
        <v>76</v>
      </c>
      <c r="M17" s="46"/>
      <c r="N17" s="64" t="s">
        <v>613</v>
      </c>
      <c r="O17" s="49"/>
      <c r="P17" s="49"/>
      <c r="Q17" s="50"/>
      <c r="R17" s="162" t="s">
        <v>136</v>
      </c>
      <c r="S17" s="162" t="s">
        <v>136</v>
      </c>
      <c r="T17" s="159"/>
      <c r="U17" s="50"/>
      <c r="V17" s="248" t="s">
        <v>573</v>
      </c>
      <c r="W17" s="285"/>
      <c r="X17" s="285"/>
      <c r="Y17" s="285"/>
      <c r="Z17" s="285"/>
      <c r="AA17" s="286"/>
    </row>
    <row r="18" spans="2:27">
      <c r="B18" s="64" t="s">
        <v>573</v>
      </c>
      <c r="C18" s="64" t="s">
        <v>576</v>
      </c>
      <c r="D18" s="64" t="s">
        <v>47</v>
      </c>
      <c r="E18" s="65">
        <v>100</v>
      </c>
      <c r="F18" s="47"/>
      <c r="G18" s="46"/>
      <c r="H18" s="46"/>
      <c r="I18" s="47"/>
      <c r="J18" s="47"/>
      <c r="K18" s="47"/>
      <c r="L18" s="46" t="s">
        <v>76</v>
      </c>
      <c r="M18" s="46"/>
      <c r="N18" s="64" t="s">
        <v>614</v>
      </c>
      <c r="O18" s="49"/>
      <c r="P18" s="49"/>
      <c r="Q18" s="50"/>
      <c r="R18" s="162" t="s">
        <v>136</v>
      </c>
      <c r="S18" s="162" t="s">
        <v>136</v>
      </c>
      <c r="T18" s="159"/>
      <c r="U18" s="50"/>
      <c r="V18" s="248" t="s">
        <v>573</v>
      </c>
      <c r="W18" s="285"/>
      <c r="X18" s="285"/>
      <c r="Y18" s="285"/>
      <c r="Z18" s="285"/>
      <c r="AA18" s="286"/>
    </row>
    <row r="19" spans="2:27">
      <c r="B19" s="64" t="s">
        <v>573</v>
      </c>
      <c r="C19" s="64" t="s">
        <v>577</v>
      </c>
      <c r="D19" s="64" t="s">
        <v>47</v>
      </c>
      <c r="E19" s="65">
        <v>100</v>
      </c>
      <c r="F19" s="47"/>
      <c r="G19" s="46"/>
      <c r="H19" s="46"/>
      <c r="I19" s="47"/>
      <c r="J19" s="47"/>
      <c r="K19" s="47"/>
      <c r="L19" s="46" t="s">
        <v>76</v>
      </c>
      <c r="M19" s="46"/>
      <c r="N19" s="64" t="s">
        <v>615</v>
      </c>
      <c r="O19" s="49"/>
      <c r="P19" s="49"/>
      <c r="Q19" s="50"/>
      <c r="R19" s="162" t="s">
        <v>136</v>
      </c>
      <c r="S19" s="162" t="s">
        <v>136</v>
      </c>
      <c r="T19" s="159"/>
      <c r="U19" s="50"/>
      <c r="V19" s="248" t="s">
        <v>573</v>
      </c>
      <c r="W19" s="285"/>
      <c r="X19" s="285"/>
      <c r="Y19" s="285"/>
      <c r="Z19" s="285"/>
      <c r="AA19" s="286"/>
    </row>
    <row r="20" spans="2:27">
      <c r="B20" s="64" t="s">
        <v>573</v>
      </c>
      <c r="C20" s="64" t="s">
        <v>578</v>
      </c>
      <c r="D20" s="64" t="s">
        <v>47</v>
      </c>
      <c r="E20" s="65">
        <v>100</v>
      </c>
      <c r="F20" s="47"/>
      <c r="G20" s="46"/>
      <c r="H20" s="46"/>
      <c r="I20" s="47"/>
      <c r="J20" s="47"/>
      <c r="K20" s="47"/>
      <c r="L20" s="46" t="s">
        <v>76</v>
      </c>
      <c r="M20" s="46"/>
      <c r="N20" s="64" t="s">
        <v>595</v>
      </c>
      <c r="O20" s="49"/>
      <c r="P20" s="49"/>
      <c r="Q20" s="50"/>
      <c r="R20" s="162" t="s">
        <v>136</v>
      </c>
      <c r="S20" s="162" t="s">
        <v>136</v>
      </c>
      <c r="T20" s="159"/>
      <c r="U20" s="50"/>
      <c r="V20" s="248" t="s">
        <v>573</v>
      </c>
      <c r="W20" s="285"/>
      <c r="X20" s="285"/>
      <c r="Y20" s="285"/>
      <c r="Z20" s="285"/>
      <c r="AA20" s="286"/>
    </row>
    <row r="21" spans="2:27">
      <c r="B21" s="64" t="s">
        <v>573</v>
      </c>
      <c r="C21" s="64" t="s">
        <v>579</v>
      </c>
      <c r="D21" s="64" t="s">
        <v>47</v>
      </c>
      <c r="E21" s="65">
        <v>100</v>
      </c>
      <c r="F21" s="47"/>
      <c r="G21" s="46"/>
      <c r="H21" s="46"/>
      <c r="I21" s="47"/>
      <c r="J21" s="47"/>
      <c r="K21" s="47"/>
      <c r="L21" s="46" t="s">
        <v>76</v>
      </c>
      <c r="M21" s="46"/>
      <c r="N21" s="64" t="s">
        <v>597</v>
      </c>
      <c r="O21" s="49"/>
      <c r="P21" s="49"/>
      <c r="Q21" s="50"/>
      <c r="R21" s="162" t="s">
        <v>136</v>
      </c>
      <c r="S21" s="162" t="s">
        <v>136</v>
      </c>
      <c r="T21" s="159"/>
      <c r="U21" s="50"/>
      <c r="V21" s="248" t="s">
        <v>573</v>
      </c>
      <c r="W21" s="285"/>
      <c r="X21" s="285"/>
      <c r="Y21" s="285"/>
      <c r="Z21" s="285"/>
      <c r="AA21" s="286"/>
    </row>
    <row r="22" spans="2:27">
      <c r="B22" s="64" t="s">
        <v>573</v>
      </c>
      <c r="C22" s="64" t="s">
        <v>580</v>
      </c>
      <c r="D22" s="64" t="s">
        <v>47</v>
      </c>
      <c r="E22" s="65">
        <v>100</v>
      </c>
      <c r="F22" s="47"/>
      <c r="G22" s="46"/>
      <c r="H22" s="46"/>
      <c r="I22" s="47"/>
      <c r="J22" s="47"/>
      <c r="K22" s="47"/>
      <c r="L22" s="46" t="s">
        <v>76</v>
      </c>
      <c r="M22" s="46"/>
      <c r="N22" s="64" t="s">
        <v>599</v>
      </c>
      <c r="O22" s="49"/>
      <c r="P22" s="49"/>
      <c r="Q22" s="50"/>
      <c r="R22" s="162" t="s">
        <v>136</v>
      </c>
      <c r="S22" s="162" t="s">
        <v>136</v>
      </c>
      <c r="T22" s="159"/>
      <c r="U22" s="50"/>
      <c r="V22" s="248" t="s">
        <v>573</v>
      </c>
      <c r="W22" s="285"/>
      <c r="X22" s="285"/>
      <c r="Y22" s="285"/>
      <c r="Z22" s="285"/>
      <c r="AA22" s="286"/>
    </row>
    <row r="23" spans="2:27">
      <c r="B23" s="64" t="s">
        <v>573</v>
      </c>
      <c r="C23" s="64" t="s">
        <v>581</v>
      </c>
      <c r="D23" s="64" t="s">
        <v>47</v>
      </c>
      <c r="E23" s="65">
        <v>100</v>
      </c>
      <c r="F23" s="47"/>
      <c r="G23" s="46"/>
      <c r="H23" s="46"/>
      <c r="I23" s="47"/>
      <c r="J23" s="47"/>
      <c r="K23" s="47"/>
      <c r="L23" s="46" t="s">
        <v>76</v>
      </c>
      <c r="M23" s="46"/>
      <c r="N23" s="64" t="s">
        <v>601</v>
      </c>
      <c r="O23" s="49"/>
      <c r="P23" s="49"/>
      <c r="Q23" s="50"/>
      <c r="R23" s="162" t="s">
        <v>136</v>
      </c>
      <c r="S23" s="162" t="s">
        <v>136</v>
      </c>
      <c r="T23" s="159"/>
      <c r="U23" s="50"/>
      <c r="V23" s="248" t="s">
        <v>573</v>
      </c>
      <c r="W23" s="285"/>
      <c r="X23" s="285"/>
      <c r="Y23" s="285"/>
      <c r="Z23" s="285"/>
      <c r="AA23" s="286"/>
    </row>
    <row r="24" spans="2:27">
      <c r="B24" s="64" t="s">
        <v>573</v>
      </c>
      <c r="C24" s="64" t="s">
        <v>582</v>
      </c>
      <c r="D24" s="64" t="s">
        <v>47</v>
      </c>
      <c r="E24" s="65">
        <v>100</v>
      </c>
      <c r="F24" s="47"/>
      <c r="G24" s="46"/>
      <c r="H24" s="46"/>
      <c r="I24" s="47"/>
      <c r="J24" s="47"/>
      <c r="K24" s="47"/>
      <c r="L24" s="46" t="s">
        <v>76</v>
      </c>
      <c r="M24" s="46"/>
      <c r="N24" s="64" t="s">
        <v>603</v>
      </c>
      <c r="O24" s="49"/>
      <c r="P24" s="49"/>
      <c r="Q24" s="50"/>
      <c r="R24" s="162" t="s">
        <v>136</v>
      </c>
      <c r="S24" s="162" t="s">
        <v>136</v>
      </c>
      <c r="T24" s="159"/>
      <c r="U24" s="50"/>
      <c r="V24" s="248" t="s">
        <v>573</v>
      </c>
      <c r="W24" s="285"/>
      <c r="X24" s="285"/>
      <c r="Y24" s="285"/>
      <c r="Z24" s="285"/>
      <c r="AA24" s="286"/>
    </row>
    <row r="25" spans="2:27">
      <c r="B25" s="64" t="s">
        <v>573</v>
      </c>
      <c r="C25" s="64" t="s">
        <v>583</v>
      </c>
      <c r="D25" s="64" t="s">
        <v>47</v>
      </c>
      <c r="E25" s="65">
        <v>100</v>
      </c>
      <c r="F25" s="47"/>
      <c r="G25" s="46"/>
      <c r="H25" s="46"/>
      <c r="I25" s="47"/>
      <c r="J25" s="47"/>
      <c r="K25" s="47"/>
      <c r="L25" s="46" t="s">
        <v>76</v>
      </c>
      <c r="M25" s="46"/>
      <c r="N25" s="64" t="s">
        <v>605</v>
      </c>
      <c r="O25" s="49"/>
      <c r="P25" s="49"/>
      <c r="Q25" s="50"/>
      <c r="R25" s="162" t="s">
        <v>136</v>
      </c>
      <c r="S25" s="162" t="s">
        <v>136</v>
      </c>
      <c r="T25" s="159"/>
      <c r="U25" s="50"/>
      <c r="V25" s="248" t="s">
        <v>573</v>
      </c>
      <c r="W25" s="285"/>
      <c r="X25" s="285"/>
      <c r="Y25" s="285"/>
      <c r="Z25" s="285"/>
      <c r="AA25" s="286"/>
    </row>
    <row r="26" spans="2:27">
      <c r="B26" s="64" t="s">
        <v>573</v>
      </c>
      <c r="C26" s="64" t="s">
        <v>584</v>
      </c>
      <c r="D26" s="64" t="s">
        <v>47</v>
      </c>
      <c r="E26" s="65">
        <v>100</v>
      </c>
      <c r="F26" s="47"/>
      <c r="G26" s="46"/>
      <c r="H26" s="46"/>
      <c r="I26" s="47"/>
      <c r="J26" s="47"/>
      <c r="K26" s="47"/>
      <c r="L26" s="46" t="s">
        <v>76</v>
      </c>
      <c r="M26" s="46"/>
      <c r="N26" s="64" t="s">
        <v>607</v>
      </c>
      <c r="O26" s="49"/>
      <c r="P26" s="49"/>
      <c r="Q26" s="50"/>
      <c r="R26" s="162" t="s">
        <v>136</v>
      </c>
      <c r="S26" s="162" t="s">
        <v>136</v>
      </c>
      <c r="T26" s="159"/>
      <c r="U26" s="50"/>
      <c r="V26" s="248" t="s">
        <v>573</v>
      </c>
      <c r="W26" s="285"/>
      <c r="X26" s="285"/>
      <c r="Y26" s="285"/>
      <c r="Z26" s="285"/>
      <c r="AA26" s="286"/>
    </row>
    <row r="27" spans="2:27">
      <c r="B27" s="64" t="s">
        <v>573</v>
      </c>
      <c r="C27" s="64" t="s">
        <v>585</v>
      </c>
      <c r="D27" s="64" t="s">
        <v>47</v>
      </c>
      <c r="E27" s="65">
        <v>100</v>
      </c>
      <c r="F27" s="47"/>
      <c r="G27" s="46"/>
      <c r="H27" s="46"/>
      <c r="I27" s="47"/>
      <c r="J27" s="47"/>
      <c r="K27" s="47"/>
      <c r="L27" s="46" t="s">
        <v>76</v>
      </c>
      <c r="M27" s="46"/>
      <c r="N27" s="64" t="s">
        <v>609</v>
      </c>
      <c r="O27" s="49"/>
      <c r="P27" s="49"/>
      <c r="Q27" s="50"/>
      <c r="R27" s="162" t="s">
        <v>136</v>
      </c>
      <c r="S27" s="162" t="s">
        <v>136</v>
      </c>
      <c r="T27" s="159"/>
      <c r="U27" s="50"/>
      <c r="V27" s="248" t="s">
        <v>573</v>
      </c>
      <c r="W27" s="285"/>
      <c r="X27" s="285"/>
      <c r="Y27" s="285"/>
      <c r="Z27" s="285"/>
      <c r="AA27" s="286"/>
    </row>
    <row r="28" spans="2:27">
      <c r="B28" s="64" t="s">
        <v>573</v>
      </c>
      <c r="C28" s="64" t="s">
        <v>586</v>
      </c>
      <c r="D28" s="64" t="s">
        <v>47</v>
      </c>
      <c r="E28" s="65">
        <v>100</v>
      </c>
      <c r="F28" s="47"/>
      <c r="G28" s="46"/>
      <c r="H28" s="46"/>
      <c r="I28" s="47"/>
      <c r="J28" s="47"/>
      <c r="K28" s="47"/>
      <c r="L28" s="46" t="s">
        <v>76</v>
      </c>
      <c r="M28" s="46"/>
      <c r="N28" s="67" t="s">
        <v>574</v>
      </c>
      <c r="O28" s="49"/>
      <c r="P28" s="49"/>
      <c r="Q28" s="50"/>
      <c r="R28" s="162" t="s">
        <v>136</v>
      </c>
      <c r="S28" s="162" t="s">
        <v>136</v>
      </c>
      <c r="T28" s="159"/>
      <c r="U28" s="50"/>
      <c r="V28" s="248" t="s">
        <v>573</v>
      </c>
      <c r="W28" s="285"/>
      <c r="X28" s="285"/>
      <c r="Y28" s="285"/>
      <c r="Z28" s="285"/>
      <c r="AA28" s="286"/>
    </row>
    <row r="29" spans="2:27">
      <c r="B29" s="64" t="s">
        <v>573</v>
      </c>
      <c r="C29" s="64" t="s">
        <v>587</v>
      </c>
      <c r="D29" s="64" t="s">
        <v>47</v>
      </c>
      <c r="E29" s="65">
        <v>100</v>
      </c>
      <c r="F29" s="47"/>
      <c r="G29" s="46"/>
      <c r="H29" s="46"/>
      <c r="I29" s="47"/>
      <c r="J29" s="47"/>
      <c r="K29" s="47"/>
      <c r="L29" s="46" t="s">
        <v>76</v>
      </c>
      <c r="M29" s="46"/>
      <c r="N29" s="67" t="s">
        <v>574</v>
      </c>
      <c r="O29" s="49"/>
      <c r="P29" s="49"/>
      <c r="Q29" s="50"/>
      <c r="R29" s="162" t="s">
        <v>136</v>
      </c>
      <c r="S29" s="162" t="s">
        <v>136</v>
      </c>
      <c r="T29" s="159"/>
      <c r="U29" s="50"/>
      <c r="V29" s="248" t="s">
        <v>573</v>
      </c>
      <c r="W29" s="285"/>
      <c r="X29" s="285"/>
      <c r="Y29" s="285"/>
      <c r="Z29" s="285"/>
      <c r="AA29" s="286"/>
    </row>
    <row r="30" spans="2:27">
      <c r="B30" s="64" t="s">
        <v>573</v>
      </c>
      <c r="C30" s="64" t="s">
        <v>588</v>
      </c>
      <c r="D30" s="64" t="s">
        <v>47</v>
      </c>
      <c r="E30" s="65">
        <v>100</v>
      </c>
      <c r="F30" s="47"/>
      <c r="G30" s="46"/>
      <c r="H30" s="46"/>
      <c r="I30" s="47"/>
      <c r="J30" s="47"/>
      <c r="K30" s="47"/>
      <c r="L30" s="46" t="s">
        <v>76</v>
      </c>
      <c r="M30" s="46"/>
      <c r="N30" s="67" t="s">
        <v>574</v>
      </c>
      <c r="O30" s="49"/>
      <c r="P30" s="49"/>
      <c r="Q30" s="50"/>
      <c r="R30" s="162" t="s">
        <v>136</v>
      </c>
      <c r="S30" s="162" t="s">
        <v>136</v>
      </c>
      <c r="T30" s="159"/>
      <c r="U30" s="50"/>
      <c r="V30" s="248" t="s">
        <v>573</v>
      </c>
      <c r="W30" s="285"/>
      <c r="X30" s="285"/>
      <c r="Y30" s="285"/>
      <c r="Z30" s="285"/>
      <c r="AA30" s="286"/>
    </row>
    <row r="31" spans="2:27">
      <c r="B31" s="64" t="s">
        <v>573</v>
      </c>
      <c r="C31" s="64" t="s">
        <v>589</v>
      </c>
      <c r="D31" s="64" t="s">
        <v>47</v>
      </c>
      <c r="E31" s="65">
        <v>100</v>
      </c>
      <c r="F31" s="47"/>
      <c r="G31" s="46"/>
      <c r="H31" s="46"/>
      <c r="I31" s="47"/>
      <c r="J31" s="47"/>
      <c r="K31" s="47"/>
      <c r="L31" s="46" t="s">
        <v>76</v>
      </c>
      <c r="M31" s="46"/>
      <c r="N31" s="67" t="s">
        <v>574</v>
      </c>
      <c r="O31" s="49"/>
      <c r="P31" s="49"/>
      <c r="Q31" s="50"/>
      <c r="R31" s="162" t="s">
        <v>136</v>
      </c>
      <c r="S31" s="162" t="s">
        <v>136</v>
      </c>
      <c r="T31" s="159"/>
      <c r="U31" s="50"/>
      <c r="V31" s="248" t="s">
        <v>573</v>
      </c>
      <c r="W31" s="285"/>
      <c r="X31" s="285"/>
      <c r="Y31" s="285"/>
      <c r="Z31" s="285"/>
      <c r="AA31" s="286"/>
    </row>
    <row r="32" spans="2:27">
      <c r="B32" s="64" t="s">
        <v>573</v>
      </c>
      <c r="C32" s="64" t="s">
        <v>590</v>
      </c>
      <c r="D32" s="64" t="s">
        <v>47</v>
      </c>
      <c r="E32" s="65">
        <v>100</v>
      </c>
      <c r="F32" s="47"/>
      <c r="G32" s="46"/>
      <c r="H32" s="46"/>
      <c r="I32" s="47"/>
      <c r="J32" s="47"/>
      <c r="K32" s="47"/>
      <c r="L32" s="46" t="s">
        <v>76</v>
      </c>
      <c r="M32" s="46"/>
      <c r="N32" s="67" t="s">
        <v>574</v>
      </c>
      <c r="O32" s="49"/>
      <c r="P32" s="49"/>
      <c r="Q32" s="50"/>
      <c r="R32" s="162" t="s">
        <v>136</v>
      </c>
      <c r="S32" s="162" t="s">
        <v>136</v>
      </c>
      <c r="T32" s="159"/>
      <c r="U32" s="50"/>
      <c r="V32" s="248" t="s">
        <v>573</v>
      </c>
      <c r="W32" s="285"/>
      <c r="X32" s="285"/>
      <c r="Y32" s="285"/>
      <c r="Z32" s="285"/>
      <c r="AA32" s="286"/>
    </row>
    <row r="33" spans="2:27">
      <c r="B33" s="64" t="s">
        <v>573</v>
      </c>
      <c r="C33" s="64" t="s">
        <v>591</v>
      </c>
      <c r="D33" s="64" t="s">
        <v>47</v>
      </c>
      <c r="E33" s="65">
        <v>100</v>
      </c>
      <c r="F33" s="47"/>
      <c r="G33" s="46"/>
      <c r="H33" s="46"/>
      <c r="I33" s="47"/>
      <c r="J33" s="47"/>
      <c r="K33" s="47"/>
      <c r="L33" s="46" t="s">
        <v>76</v>
      </c>
      <c r="M33" s="46"/>
      <c r="N33" s="67" t="s">
        <v>574</v>
      </c>
      <c r="O33" s="49"/>
      <c r="P33" s="49"/>
      <c r="Q33" s="50"/>
      <c r="R33" s="162" t="s">
        <v>136</v>
      </c>
      <c r="S33" s="162" t="s">
        <v>136</v>
      </c>
      <c r="T33" s="159"/>
      <c r="U33" s="50"/>
      <c r="V33" s="248" t="s">
        <v>573</v>
      </c>
      <c r="W33" s="285"/>
      <c r="X33" s="285"/>
      <c r="Y33" s="285"/>
      <c r="Z33" s="285"/>
      <c r="AA33" s="286"/>
    </row>
    <row r="34" spans="2:27">
      <c r="B34" s="64" t="s">
        <v>573</v>
      </c>
      <c r="C34" s="64" t="s">
        <v>592</v>
      </c>
      <c r="D34" s="64" t="s">
        <v>47</v>
      </c>
      <c r="E34" s="65">
        <v>100</v>
      </c>
      <c r="F34" s="47"/>
      <c r="G34" s="46"/>
      <c r="H34" s="46"/>
      <c r="I34" s="47"/>
      <c r="J34" s="47"/>
      <c r="K34" s="47"/>
      <c r="L34" s="46" t="s">
        <v>76</v>
      </c>
      <c r="M34" s="46"/>
      <c r="N34" s="67" t="s">
        <v>574</v>
      </c>
      <c r="O34" s="49"/>
      <c r="P34" s="49"/>
      <c r="Q34" s="50"/>
      <c r="R34" s="162" t="s">
        <v>136</v>
      </c>
      <c r="S34" s="162" t="s">
        <v>136</v>
      </c>
      <c r="T34" s="159"/>
      <c r="U34" s="50"/>
      <c r="V34" s="248" t="s">
        <v>573</v>
      </c>
      <c r="W34" s="285"/>
      <c r="X34" s="285"/>
      <c r="Y34" s="285"/>
      <c r="Z34" s="285"/>
      <c r="AA34" s="286"/>
    </row>
    <row r="35" spans="2:27">
      <c r="B35" s="64" t="s">
        <v>573</v>
      </c>
      <c r="C35" s="64" t="s">
        <v>593</v>
      </c>
      <c r="D35" s="64" t="s">
        <v>47</v>
      </c>
      <c r="E35" s="65">
        <v>100</v>
      </c>
      <c r="F35" s="47"/>
      <c r="G35" s="46"/>
      <c r="H35" s="46"/>
      <c r="I35" s="47"/>
      <c r="J35" s="47"/>
      <c r="K35" s="47"/>
      <c r="L35" s="46" t="s">
        <v>76</v>
      </c>
      <c r="M35" s="46"/>
      <c r="N35" s="67" t="s">
        <v>574</v>
      </c>
      <c r="O35" s="49"/>
      <c r="P35" s="49"/>
      <c r="Q35" s="50"/>
      <c r="R35" s="162" t="s">
        <v>136</v>
      </c>
      <c r="S35" s="162" t="s">
        <v>136</v>
      </c>
      <c r="T35" s="159"/>
      <c r="U35" s="50"/>
      <c r="V35" s="248" t="s">
        <v>573</v>
      </c>
      <c r="W35" s="285"/>
      <c r="X35" s="285"/>
      <c r="Y35" s="285"/>
      <c r="Z35" s="285"/>
      <c r="AA35" s="286"/>
    </row>
    <row r="36" spans="2:27">
      <c r="B36" s="64" t="s">
        <v>573</v>
      </c>
      <c r="C36" s="64" t="s">
        <v>594</v>
      </c>
      <c r="D36" s="64" t="s">
        <v>47</v>
      </c>
      <c r="E36" s="65">
        <v>100</v>
      </c>
      <c r="F36" s="47"/>
      <c r="G36" s="46"/>
      <c r="H36" s="46"/>
      <c r="I36" s="47"/>
      <c r="J36" s="47"/>
      <c r="K36" s="47"/>
      <c r="L36" s="46" t="s">
        <v>76</v>
      </c>
      <c r="M36" s="46"/>
      <c r="N36" s="67" t="s">
        <v>574</v>
      </c>
      <c r="O36" s="49"/>
      <c r="P36" s="49"/>
      <c r="Q36" s="50"/>
      <c r="R36" s="162" t="s">
        <v>136</v>
      </c>
      <c r="S36" s="162" t="s">
        <v>136</v>
      </c>
      <c r="T36" s="159"/>
      <c r="U36" s="50"/>
      <c r="V36" s="248" t="s">
        <v>573</v>
      </c>
      <c r="W36" s="285"/>
      <c r="X36" s="285"/>
      <c r="Y36" s="285"/>
      <c r="Z36" s="285"/>
      <c r="AA36" s="286"/>
    </row>
    <row r="37" spans="2:27">
      <c r="B37" s="46" t="s">
        <v>538</v>
      </c>
      <c r="C37" s="46" t="s">
        <v>966</v>
      </c>
      <c r="D37" s="46" t="s">
        <v>13</v>
      </c>
      <c r="E37" s="47">
        <v>20</v>
      </c>
      <c r="F37" s="47"/>
      <c r="G37" s="46"/>
      <c r="H37" s="46"/>
      <c r="I37" s="47"/>
      <c r="J37" s="47"/>
      <c r="K37" s="47"/>
      <c r="L37" s="46" t="s">
        <v>289</v>
      </c>
      <c r="M37" s="46"/>
      <c r="N37" s="48" t="s">
        <v>981</v>
      </c>
      <c r="O37" s="48"/>
      <c r="P37" s="68"/>
      <c r="Q37" s="50"/>
      <c r="R37" s="162" t="s">
        <v>136</v>
      </c>
      <c r="S37" s="162" t="s">
        <v>136</v>
      </c>
      <c r="T37" s="159"/>
      <c r="U37" s="50"/>
      <c r="V37" s="248" t="s">
        <v>538</v>
      </c>
      <c r="W37" s="285"/>
      <c r="X37" s="285"/>
      <c r="Y37" s="285"/>
      <c r="Z37" s="285"/>
      <c r="AA37" s="286"/>
    </row>
    <row r="38" spans="2:27" ht="25.2">
      <c r="B38" s="46" t="s">
        <v>967</v>
      </c>
      <c r="C38" s="46" t="s">
        <v>548</v>
      </c>
      <c r="D38" s="46" t="s">
        <v>13</v>
      </c>
      <c r="E38" s="47">
        <v>1024</v>
      </c>
      <c r="F38" s="47"/>
      <c r="G38" s="46"/>
      <c r="H38" s="46"/>
      <c r="I38" s="47"/>
      <c r="J38" s="47"/>
      <c r="K38" s="47"/>
      <c r="L38" s="46" t="s">
        <v>686</v>
      </c>
      <c r="M38" s="46"/>
      <c r="N38" s="48" t="s">
        <v>996</v>
      </c>
      <c r="O38" s="49"/>
      <c r="P38" s="68"/>
      <c r="Q38" s="50"/>
      <c r="R38" s="162" t="s">
        <v>136</v>
      </c>
      <c r="S38" s="162" t="s">
        <v>136</v>
      </c>
      <c r="T38" s="159"/>
      <c r="U38" s="50"/>
      <c r="V38" s="248" t="s">
        <v>967</v>
      </c>
      <c r="W38" s="285"/>
      <c r="X38" s="285"/>
      <c r="Y38" s="285"/>
      <c r="Z38" s="285"/>
      <c r="AA38" s="286"/>
    </row>
    <row r="39" spans="2:27" ht="25.2">
      <c r="B39" s="46" t="s">
        <v>968</v>
      </c>
      <c r="C39" s="46" t="s">
        <v>969</v>
      </c>
      <c r="D39" s="46" t="s">
        <v>13</v>
      </c>
      <c r="E39" s="47">
        <v>1024</v>
      </c>
      <c r="F39" s="47"/>
      <c r="G39" s="46"/>
      <c r="H39" s="46"/>
      <c r="I39" s="47"/>
      <c r="J39" s="47"/>
      <c r="K39" s="47"/>
      <c r="L39" s="46" t="s">
        <v>686</v>
      </c>
      <c r="M39" s="46"/>
      <c r="N39" s="48" t="s">
        <v>997</v>
      </c>
      <c r="O39" s="49"/>
      <c r="P39" s="68"/>
      <c r="Q39" s="50"/>
      <c r="R39" s="162" t="s">
        <v>136</v>
      </c>
      <c r="S39" s="162" t="s">
        <v>136</v>
      </c>
      <c r="T39" s="159"/>
      <c r="U39" s="50"/>
      <c r="V39" s="248" t="s">
        <v>1016</v>
      </c>
      <c r="W39" s="285"/>
      <c r="X39" s="285"/>
      <c r="Y39" s="285"/>
      <c r="Z39" s="285"/>
      <c r="AA39" s="286"/>
    </row>
    <row r="40" spans="2:27">
      <c r="B40" s="46" t="s">
        <v>543</v>
      </c>
      <c r="C40" s="46" t="s">
        <v>544</v>
      </c>
      <c r="D40" s="46" t="s">
        <v>13</v>
      </c>
      <c r="E40" s="47">
        <v>50</v>
      </c>
      <c r="F40" s="47"/>
      <c r="G40" s="46"/>
      <c r="H40" s="46"/>
      <c r="I40" s="47"/>
      <c r="J40" s="47"/>
      <c r="K40" s="47"/>
      <c r="L40" s="46" t="s">
        <v>315</v>
      </c>
      <c r="M40" s="46"/>
      <c r="N40" s="48" t="s">
        <v>982</v>
      </c>
      <c r="O40" s="49"/>
      <c r="P40" s="68"/>
      <c r="Q40" s="50"/>
      <c r="R40" s="162" t="s">
        <v>136</v>
      </c>
      <c r="S40" s="162" t="s">
        <v>136</v>
      </c>
      <c r="T40" s="159"/>
      <c r="U40" s="50"/>
      <c r="V40" s="248" t="s">
        <v>543</v>
      </c>
      <c r="W40" s="285"/>
      <c r="X40" s="285"/>
      <c r="Y40" s="285"/>
      <c r="Z40" s="285"/>
      <c r="AA40" s="286"/>
    </row>
    <row r="41" spans="2:27" ht="25.2">
      <c r="B41" s="46" t="s">
        <v>970</v>
      </c>
      <c r="C41" s="46" t="s">
        <v>546</v>
      </c>
      <c r="D41" s="46" t="s">
        <v>203</v>
      </c>
      <c r="E41" s="47"/>
      <c r="F41" s="47"/>
      <c r="G41" s="46"/>
      <c r="H41" s="46"/>
      <c r="I41" s="47"/>
      <c r="J41" s="47"/>
      <c r="K41" s="47"/>
      <c r="L41" s="46" t="s">
        <v>204</v>
      </c>
      <c r="M41" s="46"/>
      <c r="N41" s="48" t="s">
        <v>983</v>
      </c>
      <c r="O41" s="49"/>
      <c r="P41" s="68"/>
      <c r="Q41" s="50"/>
      <c r="R41" s="162" t="s">
        <v>136</v>
      </c>
      <c r="S41" s="162" t="s">
        <v>136</v>
      </c>
      <c r="T41" s="159"/>
      <c r="U41" s="50"/>
      <c r="V41" s="248" t="s">
        <v>970</v>
      </c>
      <c r="W41" s="285"/>
      <c r="X41" s="285"/>
      <c r="Y41" s="285"/>
      <c r="Z41" s="285"/>
      <c r="AA41" s="286"/>
    </row>
    <row r="42" spans="2:27">
      <c r="B42" s="46" t="s">
        <v>971</v>
      </c>
      <c r="C42" s="46" t="s">
        <v>561</v>
      </c>
      <c r="D42" s="46" t="s">
        <v>13</v>
      </c>
      <c r="E42" s="47">
        <v>20</v>
      </c>
      <c r="F42" s="47"/>
      <c r="G42" s="46"/>
      <c r="H42" s="46"/>
      <c r="I42" s="47"/>
      <c r="J42" s="47"/>
      <c r="K42" s="47"/>
      <c r="L42" s="46" t="s">
        <v>289</v>
      </c>
      <c r="M42" s="46"/>
      <c r="N42" s="48" t="s">
        <v>984</v>
      </c>
      <c r="O42" s="49"/>
      <c r="P42" s="68"/>
      <c r="Q42" s="50"/>
      <c r="R42" s="162" t="s">
        <v>136</v>
      </c>
      <c r="S42" s="162" t="s">
        <v>136</v>
      </c>
      <c r="T42" s="159"/>
      <c r="U42" s="50"/>
      <c r="V42" s="248" t="s">
        <v>1017</v>
      </c>
      <c r="W42" s="285"/>
      <c r="X42" s="285"/>
      <c r="Y42" s="285"/>
      <c r="Z42" s="285"/>
      <c r="AA42" s="286"/>
    </row>
    <row r="43" spans="2:27">
      <c r="B43" s="46" t="s">
        <v>972</v>
      </c>
      <c r="C43" s="46" t="s">
        <v>563</v>
      </c>
      <c r="D43" s="46" t="s">
        <v>13</v>
      </c>
      <c r="E43" s="47">
        <v>100</v>
      </c>
      <c r="F43" s="47"/>
      <c r="G43" s="46"/>
      <c r="H43" s="46"/>
      <c r="I43" s="47"/>
      <c r="J43" s="47"/>
      <c r="K43" s="47"/>
      <c r="L43" s="46" t="s">
        <v>254</v>
      </c>
      <c r="M43" s="46"/>
      <c r="N43" s="48" t="s">
        <v>985</v>
      </c>
      <c r="O43" s="49"/>
      <c r="P43" s="68"/>
      <c r="Q43" s="50"/>
      <c r="R43" s="162" t="s">
        <v>136</v>
      </c>
      <c r="S43" s="162" t="s">
        <v>136</v>
      </c>
      <c r="T43" s="159"/>
      <c r="U43" s="50"/>
      <c r="V43" s="248" t="s">
        <v>1018</v>
      </c>
      <c r="W43" s="285"/>
      <c r="X43" s="285"/>
      <c r="Y43" s="285"/>
      <c r="Z43" s="285"/>
      <c r="AA43" s="286"/>
    </row>
    <row r="44" spans="2:27">
      <c r="B44" s="46" t="s">
        <v>973</v>
      </c>
      <c r="C44" s="46" t="s">
        <v>974</v>
      </c>
      <c r="D44" s="46" t="s">
        <v>13</v>
      </c>
      <c r="E44" s="47">
        <v>100</v>
      </c>
      <c r="F44" s="47"/>
      <c r="G44" s="46"/>
      <c r="H44" s="46"/>
      <c r="I44" s="47"/>
      <c r="J44" s="47"/>
      <c r="K44" s="47"/>
      <c r="L44" s="46" t="s">
        <v>254</v>
      </c>
      <c r="M44" s="46"/>
      <c r="N44" s="48" t="s">
        <v>990</v>
      </c>
      <c r="O44" s="49"/>
      <c r="P44" s="68"/>
      <c r="Q44" s="50"/>
      <c r="R44" s="162" t="s">
        <v>136</v>
      </c>
      <c r="S44" s="162" t="s">
        <v>136</v>
      </c>
      <c r="T44" s="159"/>
      <c r="U44" s="50"/>
      <c r="V44" s="248" t="s">
        <v>1019</v>
      </c>
      <c r="W44" s="285"/>
      <c r="X44" s="285"/>
      <c r="Y44" s="285"/>
      <c r="Z44" s="285"/>
      <c r="AA44" s="286"/>
    </row>
    <row r="45" spans="2:27" ht="25.2">
      <c r="B45" s="46" t="s">
        <v>973</v>
      </c>
      <c r="C45" s="46" t="s">
        <v>975</v>
      </c>
      <c r="D45" s="46" t="s">
        <v>13</v>
      </c>
      <c r="E45" s="47">
        <v>100</v>
      </c>
      <c r="F45" s="47"/>
      <c r="G45" s="46"/>
      <c r="H45" s="46"/>
      <c r="I45" s="47"/>
      <c r="J45" s="47"/>
      <c r="K45" s="47"/>
      <c r="L45" s="46" t="s">
        <v>254</v>
      </c>
      <c r="M45" s="46"/>
      <c r="N45" s="48" t="s">
        <v>986</v>
      </c>
      <c r="O45" s="49"/>
      <c r="P45" s="68"/>
      <c r="Q45" s="50"/>
      <c r="R45" s="162" t="s">
        <v>136</v>
      </c>
      <c r="S45" s="162" t="s">
        <v>136</v>
      </c>
      <c r="T45" s="159"/>
      <c r="U45" s="50"/>
      <c r="V45" s="248" t="s">
        <v>1020</v>
      </c>
      <c r="W45" s="285"/>
      <c r="X45" s="285"/>
      <c r="Y45" s="285"/>
      <c r="Z45" s="285"/>
      <c r="AA45" s="286"/>
    </row>
    <row r="46" spans="2:27">
      <c r="B46" s="46" t="s">
        <v>973</v>
      </c>
      <c r="C46" s="46" t="s">
        <v>976</v>
      </c>
      <c r="D46" s="46" t="s">
        <v>13</v>
      </c>
      <c r="E46" s="47">
        <v>100</v>
      </c>
      <c r="F46" s="47"/>
      <c r="G46" s="46"/>
      <c r="H46" s="46"/>
      <c r="I46" s="47"/>
      <c r="J46" s="47"/>
      <c r="K46" s="47"/>
      <c r="L46" s="46" t="s">
        <v>254</v>
      </c>
      <c r="M46" s="46"/>
      <c r="N46" s="48" t="s">
        <v>991</v>
      </c>
      <c r="O46" s="49"/>
      <c r="P46" s="68"/>
      <c r="Q46" s="50"/>
      <c r="R46" s="162" t="s">
        <v>136</v>
      </c>
      <c r="S46" s="162" t="s">
        <v>136</v>
      </c>
      <c r="T46" s="159"/>
      <c r="U46" s="50"/>
      <c r="V46" s="248" t="s">
        <v>1021</v>
      </c>
      <c r="W46" s="285"/>
      <c r="X46" s="285"/>
      <c r="Y46" s="285"/>
      <c r="Z46" s="285"/>
      <c r="AA46" s="286"/>
    </row>
    <row r="47" spans="2:27" ht="50.4">
      <c r="B47" s="46" t="s">
        <v>973</v>
      </c>
      <c r="C47" s="46" t="s">
        <v>977</v>
      </c>
      <c r="D47" s="46" t="s">
        <v>13</v>
      </c>
      <c r="E47" s="47">
        <v>100</v>
      </c>
      <c r="F47" s="47"/>
      <c r="G47" s="46"/>
      <c r="H47" s="46"/>
      <c r="I47" s="47"/>
      <c r="J47" s="47"/>
      <c r="K47" s="47"/>
      <c r="L47" s="46" t="s">
        <v>254</v>
      </c>
      <c r="M47" s="46"/>
      <c r="N47" s="48" t="s">
        <v>987</v>
      </c>
      <c r="O47" s="48" t="s">
        <v>998</v>
      </c>
      <c r="P47" s="68"/>
      <c r="Q47" s="50"/>
      <c r="R47" s="162" t="s">
        <v>136</v>
      </c>
      <c r="S47" s="162" t="s">
        <v>136</v>
      </c>
      <c r="T47" s="159"/>
      <c r="U47" s="50"/>
      <c r="V47" s="248" t="s">
        <v>1022</v>
      </c>
      <c r="W47" s="285"/>
      <c r="X47" s="285"/>
      <c r="Y47" s="285"/>
      <c r="Z47" s="285"/>
      <c r="AA47" s="286"/>
    </row>
    <row r="48" spans="2:27">
      <c r="B48" s="46" t="s">
        <v>973</v>
      </c>
      <c r="C48" s="46" t="s">
        <v>978</v>
      </c>
      <c r="D48" s="46" t="s">
        <v>13</v>
      </c>
      <c r="E48" s="47">
        <v>100</v>
      </c>
      <c r="F48" s="47"/>
      <c r="G48" s="46"/>
      <c r="H48" s="46"/>
      <c r="I48" s="47"/>
      <c r="J48" s="47"/>
      <c r="K48" s="47"/>
      <c r="L48" s="46" t="s">
        <v>254</v>
      </c>
      <c r="M48" s="46"/>
      <c r="N48" s="49"/>
      <c r="O48" s="49"/>
      <c r="P48" s="68"/>
      <c r="Q48" s="50"/>
      <c r="R48" s="162" t="s">
        <v>136</v>
      </c>
      <c r="S48" s="162" t="s">
        <v>136</v>
      </c>
      <c r="T48" s="159"/>
      <c r="U48" s="50"/>
      <c r="V48" s="248" t="s">
        <v>1023</v>
      </c>
      <c r="W48" s="285"/>
      <c r="X48" s="285"/>
      <c r="Y48" s="285"/>
      <c r="Z48" s="285"/>
      <c r="AA48" s="286"/>
    </row>
    <row r="49" spans="1:27" ht="158.4">
      <c r="B49" s="46" t="s">
        <v>973</v>
      </c>
      <c r="C49" s="46" t="s">
        <v>979</v>
      </c>
      <c r="D49" s="46" t="s">
        <v>203</v>
      </c>
      <c r="E49" s="47"/>
      <c r="F49" s="47"/>
      <c r="G49" s="46"/>
      <c r="H49" s="46"/>
      <c r="I49" s="47"/>
      <c r="J49" s="47"/>
      <c r="K49" s="47"/>
      <c r="L49" s="46" t="s">
        <v>204</v>
      </c>
      <c r="M49" s="46"/>
      <c r="N49" s="48" t="s">
        <v>999</v>
      </c>
      <c r="O49" s="69" t="s">
        <v>1000</v>
      </c>
      <c r="P49" s="69"/>
      <c r="Q49" s="50"/>
      <c r="R49" s="162" t="s">
        <v>136</v>
      </c>
      <c r="S49" s="162" t="s">
        <v>136</v>
      </c>
      <c r="T49" s="159"/>
      <c r="U49" s="50"/>
      <c r="V49" s="248" t="s">
        <v>1024</v>
      </c>
      <c r="W49" s="285"/>
      <c r="X49" s="285"/>
      <c r="Y49" s="285"/>
      <c r="Z49" s="285"/>
      <c r="AA49" s="286"/>
    </row>
    <row r="50" spans="1:27">
      <c r="B50" s="46" t="s">
        <v>492</v>
      </c>
      <c r="C50" s="46" t="s">
        <v>16</v>
      </c>
      <c r="D50" s="46" t="s">
        <v>17</v>
      </c>
      <c r="E50" s="47">
        <v>8</v>
      </c>
      <c r="F50" s="47" t="s">
        <v>86</v>
      </c>
      <c r="G50" s="54" t="s">
        <v>135</v>
      </c>
      <c r="H50" s="46"/>
      <c r="I50" s="47"/>
      <c r="J50" s="47"/>
      <c r="K50" s="47"/>
      <c r="L50" s="46" t="s">
        <v>82</v>
      </c>
      <c r="M50" s="46" t="s">
        <v>14</v>
      </c>
      <c r="N50" s="49"/>
      <c r="O50" s="48"/>
      <c r="P50" s="68"/>
      <c r="Q50" s="50"/>
      <c r="R50" s="162" t="s">
        <v>136</v>
      </c>
      <c r="S50" s="162" t="s">
        <v>136</v>
      </c>
      <c r="T50" s="159"/>
      <c r="U50" s="50"/>
      <c r="V50" s="248" t="s">
        <v>1025</v>
      </c>
      <c r="W50" s="285"/>
      <c r="X50" s="285"/>
      <c r="Y50" s="285"/>
      <c r="Z50" s="285"/>
      <c r="AA50" s="286"/>
    </row>
    <row r="51" spans="1:27">
      <c r="B51" s="46" t="s">
        <v>493</v>
      </c>
      <c r="C51" s="46" t="s">
        <v>18</v>
      </c>
      <c r="D51" s="46" t="s">
        <v>17</v>
      </c>
      <c r="E51" s="47">
        <v>8</v>
      </c>
      <c r="F51" s="47" t="s">
        <v>86</v>
      </c>
      <c r="G51" s="54" t="s">
        <v>135</v>
      </c>
      <c r="H51" s="46"/>
      <c r="I51" s="47"/>
      <c r="J51" s="47"/>
      <c r="K51" s="47"/>
      <c r="L51" s="46" t="s">
        <v>82</v>
      </c>
      <c r="M51" s="46" t="s">
        <v>14</v>
      </c>
      <c r="N51" s="49"/>
      <c r="O51" s="48"/>
      <c r="P51" s="68"/>
      <c r="Q51" s="50"/>
      <c r="R51" s="162" t="s">
        <v>136</v>
      </c>
      <c r="S51" s="162" t="s">
        <v>136</v>
      </c>
      <c r="T51" s="159"/>
      <c r="U51" s="50"/>
      <c r="V51" s="248" t="s">
        <v>1026</v>
      </c>
      <c r="W51" s="285"/>
      <c r="X51" s="285"/>
      <c r="Y51" s="285"/>
      <c r="Z51" s="285"/>
      <c r="AA51" s="286"/>
    </row>
    <row r="52" spans="1:27">
      <c r="A52" s="29"/>
      <c r="B52" s="46" t="s">
        <v>19</v>
      </c>
      <c r="C52" s="46" t="s">
        <v>20</v>
      </c>
      <c r="D52" s="46" t="s">
        <v>13</v>
      </c>
      <c r="E52" s="47">
        <v>40</v>
      </c>
      <c r="F52" s="47" t="s">
        <v>86</v>
      </c>
      <c r="G52" s="46"/>
      <c r="H52" s="46"/>
      <c r="I52" s="47"/>
      <c r="J52" s="47"/>
      <c r="K52" s="47"/>
      <c r="L52" s="46" t="s">
        <v>78</v>
      </c>
      <c r="M52" s="46" t="s">
        <v>14</v>
      </c>
      <c r="N52" s="49"/>
      <c r="O52" s="49"/>
      <c r="P52" s="49"/>
      <c r="Q52" s="50"/>
      <c r="R52" s="162" t="s">
        <v>136</v>
      </c>
      <c r="S52" s="162" t="s">
        <v>136</v>
      </c>
      <c r="T52" s="159"/>
      <c r="U52" s="50"/>
      <c r="V52" s="248" t="s">
        <v>1028</v>
      </c>
      <c r="W52" s="285"/>
      <c r="X52" s="285"/>
      <c r="Y52" s="285"/>
      <c r="Z52" s="285"/>
      <c r="AA52" s="286"/>
    </row>
    <row r="53" spans="1:27">
      <c r="A53" s="29"/>
      <c r="B53" s="46" t="s">
        <v>21</v>
      </c>
      <c r="C53" s="46" t="s">
        <v>22</v>
      </c>
      <c r="D53" s="46" t="s">
        <v>13</v>
      </c>
      <c r="E53" s="47">
        <v>40</v>
      </c>
      <c r="F53" s="47" t="s">
        <v>86</v>
      </c>
      <c r="G53" s="46"/>
      <c r="H53" s="46"/>
      <c r="I53" s="47"/>
      <c r="J53" s="47"/>
      <c r="K53" s="47"/>
      <c r="L53" s="46" t="s">
        <v>78</v>
      </c>
      <c r="M53" s="46" t="s">
        <v>14</v>
      </c>
      <c r="N53" s="49"/>
      <c r="O53" s="49"/>
      <c r="P53" s="49"/>
      <c r="Q53" s="50"/>
      <c r="R53" s="162" t="s">
        <v>136</v>
      </c>
      <c r="S53" s="162" t="s">
        <v>136</v>
      </c>
      <c r="T53" s="159"/>
      <c r="U53" s="50"/>
      <c r="V53" s="248" t="s">
        <v>1028</v>
      </c>
      <c r="W53" s="285"/>
      <c r="X53" s="285"/>
      <c r="Y53" s="285"/>
      <c r="Z53" s="285"/>
      <c r="AA53" s="286"/>
    </row>
    <row r="54" spans="1:27" ht="25.2">
      <c r="B54" s="46" t="s">
        <v>45</v>
      </c>
      <c r="C54" s="46" t="s">
        <v>46</v>
      </c>
      <c r="D54" s="46" t="s">
        <v>13</v>
      </c>
      <c r="E54" s="47">
        <v>10</v>
      </c>
      <c r="F54" s="47" t="s">
        <v>86</v>
      </c>
      <c r="G54" s="46"/>
      <c r="H54" s="46"/>
      <c r="I54" s="47"/>
      <c r="J54" s="47"/>
      <c r="K54" s="47"/>
      <c r="L54" s="46" t="s">
        <v>83</v>
      </c>
      <c r="M54" s="46" t="s">
        <v>14</v>
      </c>
      <c r="N54" s="49" t="s">
        <v>62</v>
      </c>
      <c r="O54" s="48" t="s">
        <v>988</v>
      </c>
      <c r="P54" s="68"/>
      <c r="Q54" s="50"/>
      <c r="R54" s="162" t="s">
        <v>136</v>
      </c>
      <c r="S54" s="162" t="s">
        <v>136</v>
      </c>
      <c r="T54" s="159"/>
      <c r="U54" s="50"/>
      <c r="V54" s="248" t="s">
        <v>1027</v>
      </c>
      <c r="W54" s="285"/>
      <c r="X54" s="285"/>
      <c r="Y54" s="285"/>
      <c r="Z54" s="285"/>
      <c r="AA54" s="286"/>
    </row>
    <row r="55" spans="1:27">
      <c r="R55" s="29"/>
      <c r="S55" s="29"/>
      <c r="T55" s="29"/>
    </row>
    <row r="56" spans="1:27">
      <c r="R56" s="29"/>
      <c r="S56" s="29"/>
      <c r="T56" s="29"/>
    </row>
    <row r="57" spans="1:27">
      <c r="R57" s="29"/>
      <c r="S57" s="29"/>
      <c r="T57" s="29"/>
    </row>
    <row r="58" spans="1:27">
      <c r="R58" s="29"/>
      <c r="S58" s="29"/>
      <c r="T58" s="29"/>
    </row>
    <row r="59" spans="1:27">
      <c r="R59" s="29"/>
      <c r="S59" s="29"/>
      <c r="T59" s="29"/>
    </row>
    <row r="60" spans="1:27">
      <c r="R60" s="29"/>
      <c r="S60" s="29"/>
      <c r="T60" s="29"/>
    </row>
    <row r="61" spans="1:27">
      <c r="R61" s="29"/>
      <c r="S61" s="29"/>
      <c r="T61" s="29"/>
    </row>
    <row r="62" spans="1:27">
      <c r="R62" s="29"/>
      <c r="S62" s="29"/>
      <c r="T62" s="29"/>
    </row>
    <row r="63" spans="1:27">
      <c r="R63" s="29"/>
      <c r="S63" s="29"/>
      <c r="T63" s="29"/>
    </row>
    <row r="64" spans="1:27">
      <c r="R64" s="29"/>
      <c r="S64" s="29"/>
      <c r="T64" s="29"/>
    </row>
    <row r="65" spans="18:20">
      <c r="R65" s="44"/>
      <c r="S65" s="44"/>
      <c r="T65" s="44"/>
    </row>
    <row r="66" spans="18:20">
      <c r="R66" s="44"/>
      <c r="S66" s="44"/>
      <c r="T66" s="44"/>
    </row>
    <row r="67" spans="18:20">
      <c r="R67" s="44"/>
      <c r="S67" s="44"/>
      <c r="T67" s="44"/>
    </row>
    <row r="68" spans="18:20">
      <c r="R68" s="44"/>
      <c r="S68" s="44"/>
      <c r="T68" s="44"/>
    </row>
    <row r="69" spans="18:20">
      <c r="R69" s="44"/>
      <c r="S69" s="44"/>
      <c r="T69" s="44"/>
    </row>
    <row r="70" spans="18:20">
      <c r="R70" s="44"/>
      <c r="S70" s="44"/>
      <c r="T70" s="44"/>
    </row>
    <row r="71" spans="18:20">
      <c r="R71" s="44"/>
      <c r="S71" s="44"/>
      <c r="T71" s="44"/>
    </row>
    <row r="72" spans="18:20">
      <c r="R72" s="44"/>
      <c r="S72" s="44"/>
      <c r="T72" s="44"/>
    </row>
    <row r="73" spans="18:20">
      <c r="R73" s="44"/>
      <c r="S73" s="44"/>
      <c r="T73" s="44"/>
    </row>
    <row r="74" spans="18:20">
      <c r="R74" s="44"/>
      <c r="S74" s="44"/>
      <c r="T74" s="44"/>
    </row>
    <row r="75" spans="18:20">
      <c r="R75" s="44"/>
      <c r="S75" s="44"/>
      <c r="T75" s="44"/>
    </row>
    <row r="76" spans="18:20">
      <c r="R76" s="44"/>
      <c r="S76" s="44"/>
      <c r="T76" s="44"/>
    </row>
    <row r="77" spans="18:20">
      <c r="R77" s="44"/>
      <c r="S77" s="44"/>
      <c r="T77" s="44"/>
    </row>
    <row r="78" spans="18:20">
      <c r="R78" s="44"/>
      <c r="S78" s="44"/>
      <c r="T78" s="44"/>
    </row>
    <row r="79" spans="18:20">
      <c r="R79" s="44"/>
      <c r="S79" s="44"/>
      <c r="T79" s="44"/>
    </row>
    <row r="80" spans="18:20">
      <c r="R80" s="44"/>
      <c r="S80" s="44"/>
      <c r="T80" s="44"/>
    </row>
    <row r="81" spans="18:20">
      <c r="R81" s="44"/>
      <c r="S81" s="44"/>
      <c r="T81" s="44"/>
    </row>
    <row r="82" spans="18:20">
      <c r="R82" s="44"/>
      <c r="S82" s="44"/>
      <c r="T82" s="44"/>
    </row>
    <row r="83" spans="18:20">
      <c r="R83" s="44"/>
      <c r="S83" s="44"/>
      <c r="T83" s="44"/>
    </row>
    <row r="84" spans="18:20">
      <c r="R84" s="44"/>
      <c r="S84" s="44"/>
      <c r="T84" s="44"/>
    </row>
    <row r="85" spans="18:20">
      <c r="R85" s="44"/>
      <c r="S85" s="44"/>
      <c r="T85" s="44"/>
    </row>
    <row r="86" spans="18:20">
      <c r="R86" s="44"/>
      <c r="S86" s="44"/>
      <c r="T86" s="44"/>
    </row>
    <row r="87" spans="18:20">
      <c r="R87" s="44"/>
      <c r="S87" s="44"/>
      <c r="T87" s="44"/>
    </row>
    <row r="88" spans="18:20">
      <c r="R88" s="44"/>
      <c r="S88" s="44"/>
      <c r="T88" s="44"/>
    </row>
    <row r="89" spans="18:20">
      <c r="R89" s="44"/>
      <c r="S89" s="44"/>
      <c r="T89" s="44"/>
    </row>
    <row r="90" spans="18:20">
      <c r="R90" s="44"/>
      <c r="S90" s="44"/>
      <c r="T90" s="44"/>
    </row>
    <row r="91" spans="18:20">
      <c r="R91" s="44"/>
      <c r="S91" s="44"/>
      <c r="T91" s="44"/>
    </row>
    <row r="92" spans="18:20">
      <c r="R92" s="44"/>
      <c r="S92" s="44"/>
      <c r="T92" s="44"/>
    </row>
    <row r="93" spans="18:20">
      <c r="R93" s="44"/>
      <c r="S93" s="44"/>
      <c r="T93" s="44"/>
    </row>
    <row r="94" spans="18:20">
      <c r="R94" s="44"/>
      <c r="S94" s="44"/>
      <c r="T94" s="44"/>
    </row>
    <row r="95" spans="18:20">
      <c r="R95" s="44"/>
      <c r="S95" s="44"/>
      <c r="T95" s="44"/>
    </row>
    <row r="96" spans="18:20">
      <c r="R96" s="44"/>
      <c r="S96" s="44"/>
      <c r="T96" s="44"/>
    </row>
    <row r="97" spans="18:20">
      <c r="R97" s="44"/>
      <c r="S97" s="44"/>
      <c r="T97" s="44"/>
    </row>
    <row r="98" spans="18:20">
      <c r="R98" s="44"/>
      <c r="S98" s="44"/>
      <c r="T98" s="44"/>
    </row>
    <row r="99" spans="18:20">
      <c r="R99" s="44"/>
      <c r="S99" s="44"/>
      <c r="T99" s="44"/>
    </row>
    <row r="100" spans="18:20">
      <c r="R100" s="44"/>
      <c r="S100" s="44"/>
      <c r="T100" s="44"/>
    </row>
    <row r="101" spans="18:20">
      <c r="R101" s="44"/>
      <c r="S101" s="44"/>
      <c r="T101" s="44"/>
    </row>
    <row r="102" spans="18:20">
      <c r="R102" s="44"/>
      <c r="S102" s="44"/>
      <c r="T102" s="44"/>
    </row>
    <row r="103" spans="18:20">
      <c r="R103" s="44"/>
      <c r="S103" s="44"/>
      <c r="T103" s="44"/>
    </row>
    <row r="104" spans="18:20">
      <c r="R104" s="44"/>
      <c r="S104" s="44"/>
      <c r="T104" s="44"/>
    </row>
    <row r="105" spans="18:20">
      <c r="R105" s="44"/>
      <c r="S105" s="44"/>
      <c r="T105" s="44"/>
    </row>
    <row r="106" spans="18:20">
      <c r="R106" s="44"/>
      <c r="S106" s="44"/>
      <c r="T106" s="44"/>
    </row>
    <row r="107" spans="18:20">
      <c r="R107" s="44"/>
      <c r="S107" s="44"/>
      <c r="T107" s="44"/>
    </row>
    <row r="108" spans="18:20">
      <c r="R108" s="44"/>
      <c r="S108" s="44"/>
      <c r="T108" s="44"/>
    </row>
    <row r="109" spans="18:20">
      <c r="R109" s="44"/>
      <c r="S109" s="44"/>
      <c r="T109" s="44"/>
    </row>
    <row r="110" spans="18:20">
      <c r="R110" s="44"/>
      <c r="S110" s="44"/>
      <c r="T110" s="44"/>
    </row>
    <row r="111" spans="18:20">
      <c r="R111" s="44"/>
      <c r="S111" s="44"/>
      <c r="T111" s="44"/>
    </row>
    <row r="112" spans="18:20">
      <c r="R112" s="44"/>
      <c r="S112" s="44"/>
      <c r="T112" s="44"/>
    </row>
    <row r="113" spans="18:20">
      <c r="R113" s="44"/>
      <c r="S113" s="44"/>
      <c r="T113" s="44"/>
    </row>
    <row r="114" spans="18:20">
      <c r="R114" s="44"/>
      <c r="S114" s="44"/>
      <c r="T114" s="44"/>
    </row>
    <row r="115" spans="18:20">
      <c r="R115" s="44"/>
      <c r="S115" s="44"/>
      <c r="T115" s="44"/>
    </row>
    <row r="116" spans="18:20">
      <c r="R116" s="44"/>
      <c r="S116" s="44"/>
      <c r="T116" s="44"/>
    </row>
    <row r="117" spans="18:20">
      <c r="R117" s="44"/>
      <c r="S117" s="44"/>
      <c r="T117" s="44"/>
    </row>
    <row r="118" spans="18:20">
      <c r="R118" s="44"/>
      <c r="S118" s="44"/>
      <c r="T118" s="44"/>
    </row>
    <row r="119" spans="18:20">
      <c r="R119" s="44"/>
      <c r="S119" s="44"/>
      <c r="T119" s="44"/>
    </row>
    <row r="120" spans="18:20">
      <c r="R120" s="44"/>
      <c r="S120" s="44"/>
      <c r="T120" s="44"/>
    </row>
    <row r="121" spans="18:20">
      <c r="R121" s="44"/>
      <c r="S121" s="44"/>
      <c r="T121" s="44"/>
    </row>
    <row r="122" spans="18:20">
      <c r="R122" s="44"/>
      <c r="S122" s="44"/>
      <c r="T122" s="44"/>
    </row>
    <row r="123" spans="18:20">
      <c r="R123" s="44"/>
      <c r="S123" s="44"/>
      <c r="T123" s="44"/>
    </row>
    <row r="124" spans="18:20">
      <c r="R124" s="44"/>
      <c r="S124" s="44"/>
      <c r="T124" s="44"/>
    </row>
    <row r="125" spans="18:20">
      <c r="R125" s="44"/>
      <c r="S125" s="44"/>
      <c r="T125" s="44"/>
    </row>
    <row r="126" spans="18:20">
      <c r="R126" s="44"/>
      <c r="S126" s="44"/>
      <c r="T126" s="44"/>
    </row>
    <row r="127" spans="18:20">
      <c r="R127" s="44"/>
      <c r="S127" s="44"/>
      <c r="T127" s="44"/>
    </row>
    <row r="128" spans="18:20">
      <c r="R128" s="44"/>
      <c r="S128" s="44"/>
      <c r="T128" s="44"/>
    </row>
    <row r="129" spans="18:20">
      <c r="R129" s="44"/>
      <c r="S129" s="44"/>
      <c r="T129" s="44"/>
    </row>
    <row r="130" spans="18:20">
      <c r="R130" s="44"/>
      <c r="S130" s="44"/>
      <c r="T130" s="44"/>
    </row>
    <row r="131" spans="18:20">
      <c r="R131" s="44"/>
      <c r="S131" s="44"/>
      <c r="T131" s="44"/>
    </row>
    <row r="132" spans="18:20">
      <c r="R132" s="44"/>
      <c r="S132" s="44"/>
      <c r="T132" s="44"/>
    </row>
    <row r="133" spans="18:20">
      <c r="R133" s="44"/>
      <c r="S133" s="44"/>
      <c r="T133" s="44"/>
    </row>
    <row r="134" spans="18:20">
      <c r="R134" s="44"/>
      <c r="S134" s="44"/>
      <c r="T134" s="44"/>
    </row>
    <row r="135" spans="18:20">
      <c r="R135" s="44"/>
      <c r="S135" s="44"/>
      <c r="T135" s="44"/>
    </row>
    <row r="136" spans="18:20">
      <c r="R136" s="44"/>
      <c r="S136" s="44"/>
      <c r="T136" s="44"/>
    </row>
    <row r="137" spans="18:20">
      <c r="R137" s="44"/>
      <c r="S137" s="44"/>
      <c r="T137" s="44"/>
    </row>
    <row r="138" spans="18:20">
      <c r="R138" s="44"/>
      <c r="S138" s="44"/>
      <c r="T138" s="44"/>
    </row>
  </sheetData>
  <mergeCells count="50">
    <mergeCell ref="V53:AA53"/>
    <mergeCell ref="V54:AA54"/>
    <mergeCell ref="V47:AA47"/>
    <mergeCell ref="V48:AA48"/>
    <mergeCell ref="V49:AA49"/>
    <mergeCell ref="V50:AA50"/>
    <mergeCell ref="V51:AA51"/>
    <mergeCell ref="V52:AA52"/>
    <mergeCell ref="V46:AA46"/>
    <mergeCell ref="V35:AA35"/>
    <mergeCell ref="V36:AA36"/>
    <mergeCell ref="V37:AA37"/>
    <mergeCell ref="V38:AA38"/>
    <mergeCell ref="V39:AA39"/>
    <mergeCell ref="V40:AA40"/>
    <mergeCell ref="V41:AA41"/>
    <mergeCell ref="V42:AA42"/>
    <mergeCell ref="V43:AA43"/>
    <mergeCell ref="V44:AA44"/>
    <mergeCell ref="V45:AA45"/>
    <mergeCell ref="V34:AA34"/>
    <mergeCell ref="V23:AA23"/>
    <mergeCell ref="V24:AA24"/>
    <mergeCell ref="V25:AA25"/>
    <mergeCell ref="V26:AA26"/>
    <mergeCell ref="V27:AA27"/>
    <mergeCell ref="V28:AA28"/>
    <mergeCell ref="V29:AA29"/>
    <mergeCell ref="V30:AA30"/>
    <mergeCell ref="V31:AA31"/>
    <mergeCell ref="V32:AA32"/>
    <mergeCell ref="V33:AA33"/>
    <mergeCell ref="V22:AA22"/>
    <mergeCell ref="V12:AA12"/>
    <mergeCell ref="V13:Y13"/>
    <mergeCell ref="V14:AA14"/>
    <mergeCell ref="V15:W15"/>
    <mergeCell ref="Z15:AA15"/>
    <mergeCell ref="V16:AA16"/>
    <mergeCell ref="V17:AA17"/>
    <mergeCell ref="V18:AA18"/>
    <mergeCell ref="V19:AA19"/>
    <mergeCell ref="V20:AA20"/>
    <mergeCell ref="V21:AA21"/>
    <mergeCell ref="V10:AA10"/>
    <mergeCell ref="D5:F5"/>
    <mergeCell ref="H5:P5"/>
    <mergeCell ref="D6:F6"/>
    <mergeCell ref="H6:P6"/>
    <mergeCell ref="V9:AA9"/>
  </mergeCells>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1E6F4-E648-47F5-A643-D922EE928062}">
  <sheetPr codeName="Sheet18">
    <tabColor theme="7" tint="0.79998168889431442"/>
  </sheetPr>
  <dimension ref="A2:AC138"/>
  <sheetViews>
    <sheetView showGridLines="0" workbookViewId="0"/>
  </sheetViews>
  <sheetFormatPr defaultRowHeight="15"/>
  <cols>
    <col min="1" max="1" width="2.54296875" customWidth="1"/>
    <col min="2" max="3" width="22.81640625" customWidth="1"/>
    <col min="4" max="4" width="7.1796875" bestFit="1" customWidth="1"/>
    <col min="5" max="5" width="5.1796875" customWidth="1"/>
    <col min="6" max="6" width="4.453125" customWidth="1"/>
    <col min="7" max="7" width="15.36328125" bestFit="1" customWidth="1"/>
    <col min="8" max="8" width="4.453125" customWidth="1"/>
    <col min="9" max="9" width="3.08984375" bestFit="1" customWidth="1"/>
    <col min="10" max="10" width="3.1796875" bestFit="1" customWidth="1"/>
    <col min="11" max="11" width="3" bestFit="1" customWidth="1"/>
    <col min="12" max="12" width="12" bestFit="1" customWidth="1"/>
    <col min="13" max="13" width="4.453125" customWidth="1"/>
    <col min="14" max="14" width="30.453125" customWidth="1"/>
    <col min="15" max="15" width="27.36328125" customWidth="1"/>
    <col min="16" max="16" width="33.36328125" customWidth="1"/>
    <col min="17" max="17" width="2.36328125" customWidth="1"/>
    <col min="18" max="19" width="6.54296875" customWidth="1"/>
    <col min="20" max="20" width="15.1796875" customWidth="1"/>
    <col min="21" max="21" width="6.54296875" customWidth="1"/>
    <col min="22" max="26" width="20.6328125" customWidth="1"/>
  </cols>
  <sheetData>
    <row r="2" spans="1:29">
      <c r="A2" s="6"/>
      <c r="B2" s="7" t="s">
        <v>38</v>
      </c>
      <c r="C2" s="6"/>
      <c r="D2" s="6"/>
      <c r="E2" s="6"/>
      <c r="F2" s="6"/>
      <c r="G2" s="6"/>
      <c r="H2" s="6"/>
      <c r="I2" s="6"/>
      <c r="J2" s="6"/>
      <c r="K2" s="6"/>
      <c r="L2" s="6"/>
      <c r="M2" s="6"/>
      <c r="N2" s="6"/>
      <c r="O2" s="6"/>
      <c r="P2" s="6"/>
      <c r="Q2" s="6"/>
      <c r="R2" s="6"/>
      <c r="S2" s="6"/>
      <c r="T2" s="6"/>
      <c r="U2" s="6"/>
      <c r="V2" s="6"/>
      <c r="W2" s="6"/>
      <c r="X2" s="6"/>
      <c r="Y2" s="6"/>
      <c r="Z2" s="6"/>
      <c r="AA2" s="6"/>
      <c r="AB2" s="6"/>
      <c r="AC2" s="6"/>
    </row>
    <row r="3" spans="1:29" ht="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5" spans="1:29">
      <c r="B5" s="8" t="s">
        <v>30</v>
      </c>
      <c r="C5" s="8" t="s">
        <v>31</v>
      </c>
      <c r="D5" s="234" t="s">
        <v>37</v>
      </c>
      <c r="E5" s="235"/>
      <c r="F5" s="236"/>
      <c r="G5" s="8" t="s">
        <v>74</v>
      </c>
      <c r="H5" s="234" t="s">
        <v>85</v>
      </c>
      <c r="I5" s="235"/>
      <c r="J5" s="235"/>
      <c r="K5" s="235"/>
      <c r="L5" s="235"/>
      <c r="M5" s="235"/>
      <c r="N5" s="235"/>
      <c r="O5" s="235"/>
      <c r="P5" s="236"/>
      <c r="R5" t="s">
        <v>1859</v>
      </c>
    </row>
    <row r="6" spans="1:29">
      <c r="B6" s="30" t="s">
        <v>102</v>
      </c>
      <c r="C6" s="30" t="s">
        <v>104</v>
      </c>
      <c r="D6" s="237" t="s">
        <v>94</v>
      </c>
      <c r="E6" s="238"/>
      <c r="F6" s="239"/>
      <c r="G6" s="45" t="s">
        <v>75</v>
      </c>
      <c r="H6" s="240"/>
      <c r="I6" s="241"/>
      <c r="J6" s="241"/>
      <c r="K6" s="241"/>
      <c r="L6" s="241"/>
      <c r="M6" s="241"/>
      <c r="N6" s="241"/>
      <c r="O6" s="241"/>
      <c r="P6" s="242"/>
      <c r="R6" t="s">
        <v>1862</v>
      </c>
      <c r="V6" t="s">
        <v>109</v>
      </c>
    </row>
    <row r="7" spans="1:29">
      <c r="R7" t="s">
        <v>1863</v>
      </c>
    </row>
    <row r="8" spans="1:29">
      <c r="B8" s="8" t="s">
        <v>32</v>
      </c>
      <c r="C8" s="8" t="s">
        <v>33</v>
      </c>
      <c r="D8" s="8" t="s">
        <v>34</v>
      </c>
      <c r="E8" s="13" t="s">
        <v>10</v>
      </c>
      <c r="F8" s="9" t="s">
        <v>23</v>
      </c>
      <c r="G8" s="9" t="s">
        <v>24</v>
      </c>
      <c r="H8" s="9" t="s">
        <v>25</v>
      </c>
      <c r="I8" s="9" t="s">
        <v>26</v>
      </c>
      <c r="J8" s="9" t="s">
        <v>27</v>
      </c>
      <c r="K8" s="9" t="s">
        <v>28</v>
      </c>
      <c r="L8" s="9" t="s">
        <v>29</v>
      </c>
      <c r="M8" s="9" t="s">
        <v>11</v>
      </c>
      <c r="N8" s="8" t="s">
        <v>35</v>
      </c>
      <c r="O8" s="8" t="s">
        <v>36</v>
      </c>
      <c r="P8" s="8" t="s">
        <v>12</v>
      </c>
      <c r="R8" s="88" t="s">
        <v>1858</v>
      </c>
      <c r="S8" s="88" t="s">
        <v>1866</v>
      </c>
      <c r="T8" s="88" t="s">
        <v>155</v>
      </c>
      <c r="V8" s="8" t="s">
        <v>107</v>
      </c>
      <c r="W8" s="8" t="s">
        <v>107</v>
      </c>
      <c r="X8" s="8" t="s">
        <v>107</v>
      </c>
      <c r="Y8" s="8" t="s">
        <v>107</v>
      </c>
      <c r="Z8" s="8" t="s">
        <v>107</v>
      </c>
    </row>
    <row r="9" spans="1:29">
      <c r="B9" s="46" t="s">
        <v>1035</v>
      </c>
      <c r="C9" s="46" t="s">
        <v>1003</v>
      </c>
      <c r="D9" s="46" t="s">
        <v>13</v>
      </c>
      <c r="E9" s="47">
        <v>40</v>
      </c>
      <c r="F9" s="84" t="s">
        <v>1893</v>
      </c>
      <c r="G9" s="46"/>
      <c r="H9" s="46"/>
      <c r="I9" s="47" t="s">
        <v>14</v>
      </c>
      <c r="J9" s="47"/>
      <c r="K9" s="47"/>
      <c r="L9" s="46" t="s">
        <v>177</v>
      </c>
      <c r="M9" s="46"/>
      <c r="N9" s="48"/>
      <c r="O9" s="49"/>
      <c r="P9" s="49"/>
      <c r="Q9" s="44"/>
      <c r="R9" s="162" t="s">
        <v>136</v>
      </c>
      <c r="S9" s="162" t="s">
        <v>136</v>
      </c>
      <c r="T9" s="159"/>
      <c r="U9" s="44"/>
      <c r="V9" s="49"/>
      <c r="W9" s="49"/>
      <c r="X9" s="49"/>
      <c r="Y9" s="49"/>
      <c r="Z9" s="49"/>
    </row>
    <row r="10" spans="1:29">
      <c r="B10" s="46" t="s">
        <v>178</v>
      </c>
      <c r="C10" s="46" t="s">
        <v>42</v>
      </c>
      <c r="D10" s="46" t="s">
        <v>13</v>
      </c>
      <c r="E10" s="47">
        <v>8</v>
      </c>
      <c r="F10" s="84" t="s">
        <v>1893</v>
      </c>
      <c r="G10" s="46"/>
      <c r="H10" s="46"/>
      <c r="I10" s="47"/>
      <c r="J10" s="47"/>
      <c r="K10" s="47"/>
      <c r="L10" s="46" t="s">
        <v>179</v>
      </c>
      <c r="M10" s="46"/>
      <c r="N10" s="49"/>
      <c r="O10" s="49"/>
      <c r="P10" s="49"/>
      <c r="Q10" s="44"/>
      <c r="R10" s="162" t="s">
        <v>136</v>
      </c>
      <c r="S10" s="162" t="s">
        <v>136</v>
      </c>
      <c r="T10" s="159"/>
      <c r="U10" s="44"/>
      <c r="V10" s="49"/>
      <c r="W10" s="49"/>
      <c r="X10" s="49"/>
      <c r="Y10" s="49"/>
      <c r="Z10" s="49"/>
    </row>
    <row r="11" spans="1:29">
      <c r="B11" s="46" t="s">
        <v>180</v>
      </c>
      <c r="C11" s="46" t="s">
        <v>181</v>
      </c>
      <c r="D11" s="46" t="s">
        <v>13</v>
      </c>
      <c r="E11" s="47">
        <v>8</v>
      </c>
      <c r="F11" s="84" t="s">
        <v>1893</v>
      </c>
      <c r="G11" s="46"/>
      <c r="H11" s="46"/>
      <c r="I11" s="47"/>
      <c r="J11" s="47"/>
      <c r="K11" s="47"/>
      <c r="L11" s="46" t="s">
        <v>182</v>
      </c>
      <c r="M11" s="46"/>
      <c r="N11" s="49"/>
      <c r="O11" s="49"/>
      <c r="P11" s="49"/>
      <c r="Q11" s="44"/>
      <c r="R11" s="162" t="s">
        <v>136</v>
      </c>
      <c r="S11" s="162" t="s">
        <v>136</v>
      </c>
      <c r="T11" s="159"/>
      <c r="U11" s="44"/>
      <c r="V11" s="49"/>
      <c r="W11" s="49"/>
      <c r="X11" s="49"/>
      <c r="Y11" s="49"/>
      <c r="Z11" s="49"/>
    </row>
    <row r="12" spans="1:29">
      <c r="B12" s="46" t="s">
        <v>1036</v>
      </c>
      <c r="C12" s="46" t="s">
        <v>1037</v>
      </c>
      <c r="D12" s="46" t="s">
        <v>13</v>
      </c>
      <c r="E12" s="47">
        <v>50</v>
      </c>
      <c r="F12" s="84" t="s">
        <v>1893</v>
      </c>
      <c r="G12" s="46"/>
      <c r="H12" s="46"/>
      <c r="I12" s="47"/>
      <c r="J12" s="47"/>
      <c r="K12" s="47"/>
      <c r="L12" s="46" t="s">
        <v>1038</v>
      </c>
      <c r="M12" s="46"/>
      <c r="N12" s="49"/>
      <c r="O12" s="49"/>
      <c r="P12" s="49"/>
      <c r="Q12" s="44"/>
      <c r="R12" s="162" t="s">
        <v>136</v>
      </c>
      <c r="S12" s="162" t="s">
        <v>136</v>
      </c>
      <c r="T12" s="159"/>
      <c r="U12" s="44"/>
      <c r="V12" s="49"/>
      <c r="W12" s="49"/>
      <c r="X12" s="49"/>
      <c r="Y12" s="49"/>
      <c r="Z12" s="49"/>
    </row>
    <row r="13" spans="1:29">
      <c r="B13" s="46" t="s">
        <v>865</v>
      </c>
      <c r="C13" s="46" t="s">
        <v>866</v>
      </c>
      <c r="D13" s="46" t="s">
        <v>13</v>
      </c>
      <c r="E13" s="47">
        <v>50</v>
      </c>
      <c r="F13" s="84" t="s">
        <v>1893</v>
      </c>
      <c r="G13" s="46"/>
      <c r="H13" s="46"/>
      <c r="I13" s="47"/>
      <c r="J13" s="47"/>
      <c r="K13" s="47"/>
      <c r="L13" s="46" t="s">
        <v>434</v>
      </c>
      <c r="M13" s="46"/>
      <c r="N13" s="48"/>
      <c r="O13" s="49"/>
      <c r="P13" s="49"/>
      <c r="Q13" s="44"/>
      <c r="R13" s="162" t="s">
        <v>136</v>
      </c>
      <c r="S13" s="162" t="s">
        <v>136</v>
      </c>
      <c r="T13" s="159"/>
      <c r="U13" s="44"/>
      <c r="V13" s="49"/>
      <c r="W13" s="49"/>
      <c r="X13" s="49"/>
      <c r="Y13" s="49"/>
      <c r="Z13" s="49"/>
    </row>
    <row r="14" spans="1:29">
      <c r="B14" s="46" t="s">
        <v>1039</v>
      </c>
      <c r="C14" s="46" t="s">
        <v>1040</v>
      </c>
      <c r="D14" s="46" t="s">
        <v>13</v>
      </c>
      <c r="E14" s="47">
        <v>500</v>
      </c>
      <c r="F14" s="84" t="s">
        <v>1893</v>
      </c>
      <c r="G14" s="46"/>
      <c r="H14" s="46"/>
      <c r="I14" s="47"/>
      <c r="J14" s="47"/>
      <c r="K14" s="47"/>
      <c r="L14" s="46" t="s">
        <v>254</v>
      </c>
      <c r="M14" s="46"/>
      <c r="N14" s="49"/>
      <c r="O14" s="49"/>
      <c r="P14" s="49"/>
      <c r="Q14" s="44"/>
      <c r="R14" s="162" t="s">
        <v>136</v>
      </c>
      <c r="S14" s="162" t="s">
        <v>136</v>
      </c>
      <c r="T14" s="159"/>
      <c r="U14" s="44"/>
      <c r="V14" s="49"/>
      <c r="W14" s="49"/>
      <c r="X14" s="49"/>
      <c r="Y14" s="49"/>
      <c r="Z14" s="49"/>
    </row>
    <row r="15" spans="1:29">
      <c r="B15" s="46" t="s">
        <v>1041</v>
      </c>
      <c r="C15" s="46" t="s">
        <v>1042</v>
      </c>
      <c r="D15" s="46" t="s">
        <v>193</v>
      </c>
      <c r="E15" s="47">
        <v>100</v>
      </c>
      <c r="F15" s="84" t="s">
        <v>1893</v>
      </c>
      <c r="G15" s="46"/>
      <c r="H15" s="46"/>
      <c r="I15" s="47"/>
      <c r="J15" s="47"/>
      <c r="K15" s="47"/>
      <c r="L15" s="46" t="s">
        <v>254</v>
      </c>
      <c r="M15" s="46"/>
      <c r="N15" s="49"/>
      <c r="O15" s="49"/>
      <c r="P15" s="49"/>
      <c r="Q15" s="44"/>
      <c r="R15" s="162" t="s">
        <v>136</v>
      </c>
      <c r="S15" s="162" t="s">
        <v>136</v>
      </c>
      <c r="T15" s="159"/>
      <c r="U15" s="44"/>
      <c r="V15" s="49"/>
      <c r="W15" s="49"/>
      <c r="X15" s="49"/>
      <c r="Y15" s="49"/>
      <c r="Z15" s="49"/>
    </row>
    <row r="16" spans="1:29">
      <c r="B16" s="46" t="s">
        <v>1043</v>
      </c>
      <c r="C16" s="46" t="s">
        <v>1044</v>
      </c>
      <c r="D16" s="46" t="s">
        <v>13</v>
      </c>
      <c r="E16" s="47">
        <v>16</v>
      </c>
      <c r="F16" s="84" t="s">
        <v>1893</v>
      </c>
      <c r="G16" s="46"/>
      <c r="H16" s="46"/>
      <c r="I16" s="47"/>
      <c r="J16" s="47"/>
      <c r="K16" s="47"/>
      <c r="L16" s="46" t="s">
        <v>649</v>
      </c>
      <c r="M16" s="46"/>
      <c r="N16" s="49"/>
      <c r="O16" s="49"/>
      <c r="P16" s="49"/>
      <c r="Q16" s="44"/>
      <c r="R16" s="162" t="s">
        <v>136</v>
      </c>
      <c r="S16" s="162" t="s">
        <v>136</v>
      </c>
      <c r="T16" s="159"/>
      <c r="U16" s="44"/>
      <c r="V16" s="49"/>
      <c r="W16" s="49"/>
      <c r="X16" s="49"/>
      <c r="Y16" s="49"/>
      <c r="Z16" s="49"/>
    </row>
    <row r="17" spans="2:26">
      <c r="B17" s="46" t="s">
        <v>1045</v>
      </c>
      <c r="C17" s="46" t="s">
        <v>253</v>
      </c>
      <c r="D17" s="46" t="s">
        <v>193</v>
      </c>
      <c r="E17" s="47">
        <v>100</v>
      </c>
      <c r="F17" s="84" t="s">
        <v>1893</v>
      </c>
      <c r="G17" s="46"/>
      <c r="H17" s="46"/>
      <c r="I17" s="47"/>
      <c r="J17" s="47"/>
      <c r="K17" s="47"/>
      <c r="L17" s="46" t="s">
        <v>254</v>
      </c>
      <c r="M17" s="46"/>
      <c r="N17" s="49"/>
      <c r="O17" s="48"/>
      <c r="P17" s="49"/>
      <c r="Q17" s="44"/>
      <c r="R17" s="162" t="s">
        <v>136</v>
      </c>
      <c r="S17" s="162" t="s">
        <v>136</v>
      </c>
      <c r="T17" s="159"/>
      <c r="U17" s="44"/>
      <c r="V17" s="49"/>
      <c r="W17" s="49"/>
      <c r="X17" s="49"/>
      <c r="Y17" s="49"/>
      <c r="Z17" s="49"/>
    </row>
    <row r="18" spans="2:26">
      <c r="B18" s="46" t="s">
        <v>1046</v>
      </c>
      <c r="C18" s="46" t="s">
        <v>256</v>
      </c>
      <c r="D18" s="46" t="s">
        <v>193</v>
      </c>
      <c r="E18" s="47">
        <v>100</v>
      </c>
      <c r="F18" s="84" t="s">
        <v>1893</v>
      </c>
      <c r="G18" s="46"/>
      <c r="H18" s="46"/>
      <c r="I18" s="47"/>
      <c r="J18" s="47"/>
      <c r="K18" s="47"/>
      <c r="L18" s="46" t="s">
        <v>254</v>
      </c>
      <c r="M18" s="46"/>
      <c r="N18" s="49"/>
      <c r="O18" s="49"/>
      <c r="P18" s="49"/>
      <c r="Q18" s="44"/>
      <c r="R18" s="162" t="s">
        <v>136</v>
      </c>
      <c r="S18" s="162" t="s">
        <v>136</v>
      </c>
      <c r="T18" s="159"/>
      <c r="U18" s="44"/>
      <c r="V18" s="49"/>
      <c r="W18" s="49"/>
      <c r="X18" s="49"/>
      <c r="Y18" s="49"/>
      <c r="Z18" s="49"/>
    </row>
    <row r="19" spans="2:26">
      <c r="B19" s="46" t="s">
        <v>1047</v>
      </c>
      <c r="C19" s="46" t="s">
        <v>258</v>
      </c>
      <c r="D19" s="46" t="s">
        <v>193</v>
      </c>
      <c r="E19" s="47">
        <v>100</v>
      </c>
      <c r="F19" s="84" t="s">
        <v>1893</v>
      </c>
      <c r="G19" s="46"/>
      <c r="H19" s="46"/>
      <c r="I19" s="47"/>
      <c r="J19" s="47"/>
      <c r="K19" s="47"/>
      <c r="L19" s="46" t="s">
        <v>254</v>
      </c>
      <c r="M19" s="46"/>
      <c r="N19" s="49"/>
      <c r="O19" s="49"/>
      <c r="P19" s="49"/>
      <c r="Q19" s="44"/>
      <c r="R19" s="162" t="s">
        <v>136</v>
      </c>
      <c r="S19" s="162" t="s">
        <v>136</v>
      </c>
      <c r="T19" s="159"/>
      <c r="U19" s="44"/>
      <c r="V19" s="49"/>
      <c r="W19" s="49"/>
      <c r="X19" s="49"/>
      <c r="Y19" s="49"/>
      <c r="Z19" s="49"/>
    </row>
    <row r="20" spans="2:26">
      <c r="B20" s="46" t="s">
        <v>492</v>
      </c>
      <c r="C20" s="46" t="s">
        <v>16</v>
      </c>
      <c r="D20" s="46" t="s">
        <v>17</v>
      </c>
      <c r="E20" s="47">
        <v>8</v>
      </c>
      <c r="F20" s="47" t="s">
        <v>86</v>
      </c>
      <c r="G20" s="133" t="s">
        <v>1894</v>
      </c>
      <c r="H20" s="46"/>
      <c r="I20" s="47"/>
      <c r="J20" s="47"/>
      <c r="K20" s="47"/>
      <c r="L20" s="46" t="s">
        <v>82</v>
      </c>
      <c r="M20" s="46" t="s">
        <v>14</v>
      </c>
      <c r="N20" s="49"/>
      <c r="O20" s="49"/>
      <c r="P20" s="49"/>
      <c r="Q20" s="44"/>
      <c r="R20" s="162" t="s">
        <v>136</v>
      </c>
      <c r="S20" s="162" t="s">
        <v>136</v>
      </c>
      <c r="T20" s="159"/>
      <c r="U20" s="44"/>
      <c r="V20" s="49"/>
      <c r="W20" s="49"/>
      <c r="X20" s="49"/>
      <c r="Y20" s="49"/>
      <c r="Z20" s="49"/>
    </row>
    <row r="21" spans="2:26">
      <c r="B21" s="46" t="s">
        <v>493</v>
      </c>
      <c r="C21" s="46" t="s">
        <v>18</v>
      </c>
      <c r="D21" s="46" t="s">
        <v>17</v>
      </c>
      <c r="E21" s="47">
        <v>8</v>
      </c>
      <c r="F21" s="47" t="s">
        <v>86</v>
      </c>
      <c r="G21" s="133" t="s">
        <v>1894</v>
      </c>
      <c r="H21" s="46"/>
      <c r="I21" s="47"/>
      <c r="J21" s="47"/>
      <c r="K21" s="47"/>
      <c r="L21" s="46" t="s">
        <v>82</v>
      </c>
      <c r="M21" s="46" t="s">
        <v>14</v>
      </c>
      <c r="N21" s="49"/>
      <c r="O21" s="49"/>
      <c r="P21" s="49"/>
      <c r="Q21" s="44"/>
      <c r="R21" s="162" t="s">
        <v>136</v>
      </c>
      <c r="S21" s="162" t="s">
        <v>136</v>
      </c>
      <c r="T21" s="159"/>
      <c r="U21" s="44"/>
      <c r="V21" s="49"/>
      <c r="W21" s="49"/>
      <c r="X21" s="49"/>
      <c r="Y21" s="49"/>
      <c r="Z21" s="49"/>
    </row>
    <row r="22" spans="2:26">
      <c r="B22" s="46" t="s">
        <v>19</v>
      </c>
      <c r="C22" s="46" t="s">
        <v>20</v>
      </c>
      <c r="D22" s="46" t="s">
        <v>13</v>
      </c>
      <c r="E22" s="47">
        <v>40</v>
      </c>
      <c r="F22" s="47" t="s">
        <v>86</v>
      </c>
      <c r="G22" s="46"/>
      <c r="H22" s="46"/>
      <c r="I22" s="47"/>
      <c r="J22" s="47"/>
      <c r="K22" s="47"/>
      <c r="L22" s="46" t="s">
        <v>78</v>
      </c>
      <c r="M22" s="46" t="s">
        <v>14</v>
      </c>
      <c r="N22" s="49"/>
      <c r="O22" s="49"/>
      <c r="P22" s="49"/>
      <c r="Q22" s="44"/>
      <c r="R22" s="162" t="s">
        <v>136</v>
      </c>
      <c r="S22" s="162" t="s">
        <v>136</v>
      </c>
      <c r="T22" s="159"/>
      <c r="U22" s="44"/>
      <c r="V22" s="49"/>
      <c r="W22" s="49"/>
      <c r="X22" s="49"/>
      <c r="Y22" s="49"/>
      <c r="Z22" s="49"/>
    </row>
    <row r="23" spans="2:26">
      <c r="B23" s="46" t="s">
        <v>21</v>
      </c>
      <c r="C23" s="46" t="s">
        <v>22</v>
      </c>
      <c r="D23" s="46" t="s">
        <v>13</v>
      </c>
      <c r="E23" s="47">
        <v>40</v>
      </c>
      <c r="F23" s="47" t="s">
        <v>86</v>
      </c>
      <c r="G23" s="46"/>
      <c r="H23" s="46"/>
      <c r="I23" s="47"/>
      <c r="J23" s="47"/>
      <c r="K23" s="47"/>
      <c r="L23" s="46" t="s">
        <v>78</v>
      </c>
      <c r="M23" s="46" t="s">
        <v>14</v>
      </c>
      <c r="N23" s="49"/>
      <c r="O23" s="49"/>
      <c r="P23" s="49"/>
      <c r="Q23" s="44"/>
      <c r="R23" s="162" t="s">
        <v>136</v>
      </c>
      <c r="S23" s="162" t="s">
        <v>136</v>
      </c>
      <c r="T23" s="159"/>
      <c r="U23" s="44"/>
      <c r="V23" s="49"/>
      <c r="W23" s="49"/>
      <c r="X23" s="49"/>
      <c r="Y23" s="49"/>
      <c r="Z23" s="49"/>
    </row>
    <row r="24" spans="2:26" ht="25.2">
      <c r="B24" s="46" t="s">
        <v>45</v>
      </c>
      <c r="C24" s="46" t="s">
        <v>46</v>
      </c>
      <c r="D24" s="46" t="s">
        <v>13</v>
      </c>
      <c r="E24" s="47">
        <v>10</v>
      </c>
      <c r="F24" s="47" t="s">
        <v>86</v>
      </c>
      <c r="G24" s="46"/>
      <c r="H24" s="46"/>
      <c r="I24" s="47"/>
      <c r="J24" s="47"/>
      <c r="K24" s="47"/>
      <c r="L24" s="46" t="s">
        <v>83</v>
      </c>
      <c r="M24" s="46" t="s">
        <v>14</v>
      </c>
      <c r="N24" s="49" t="s">
        <v>62</v>
      </c>
      <c r="O24" s="48" t="s">
        <v>63</v>
      </c>
      <c r="P24" s="49"/>
      <c r="Q24" s="44"/>
      <c r="R24" s="162" t="s">
        <v>136</v>
      </c>
      <c r="S24" s="162" t="s">
        <v>136</v>
      </c>
      <c r="T24" s="159"/>
      <c r="U24" s="44"/>
      <c r="V24" s="49"/>
      <c r="W24" s="49"/>
      <c r="X24" s="49"/>
      <c r="Y24" s="49"/>
      <c r="Z24" s="49"/>
    </row>
    <row r="25" spans="2:26">
      <c r="B25" s="44"/>
      <c r="C25" s="44"/>
      <c r="D25" s="44"/>
      <c r="E25" s="44"/>
      <c r="F25" s="44"/>
      <c r="G25" s="44"/>
      <c r="H25" s="44"/>
      <c r="I25" s="44"/>
      <c r="J25" s="44"/>
      <c r="K25" s="44"/>
      <c r="L25" s="44"/>
      <c r="M25" s="44"/>
      <c r="N25" s="44"/>
      <c r="O25" s="44"/>
      <c r="P25" s="44"/>
      <c r="Q25" s="44"/>
      <c r="U25" s="44"/>
      <c r="V25" s="44"/>
      <c r="W25" s="44"/>
      <c r="X25" s="44"/>
      <c r="Y25" s="44"/>
      <c r="Z25" s="44"/>
    </row>
    <row r="57" spans="18:20">
      <c r="R57" s="29"/>
      <c r="S57" s="29"/>
      <c r="T57" s="29"/>
    </row>
    <row r="58" spans="18:20">
      <c r="R58" s="29"/>
      <c r="S58" s="29"/>
      <c r="T58" s="29"/>
    </row>
    <row r="59" spans="18:20">
      <c r="R59" s="29"/>
      <c r="S59" s="29"/>
      <c r="T59" s="29"/>
    </row>
    <row r="60" spans="18:20">
      <c r="R60" s="29"/>
      <c r="S60" s="29"/>
      <c r="T60" s="29"/>
    </row>
    <row r="61" spans="18:20">
      <c r="R61" s="29"/>
      <c r="S61" s="29"/>
      <c r="T61" s="29"/>
    </row>
    <row r="62" spans="18:20">
      <c r="R62" s="29"/>
      <c r="S62" s="29"/>
      <c r="T62" s="29"/>
    </row>
    <row r="63" spans="18:20">
      <c r="R63" s="29"/>
      <c r="S63" s="29"/>
      <c r="T63" s="29"/>
    </row>
    <row r="64" spans="18:20">
      <c r="R64" s="29"/>
      <c r="S64" s="29"/>
      <c r="T64" s="29"/>
    </row>
    <row r="65" spans="18:20">
      <c r="R65" s="44"/>
      <c r="S65" s="44"/>
      <c r="T65" s="44"/>
    </row>
    <row r="66" spans="18:20">
      <c r="R66" s="44"/>
      <c r="S66" s="44"/>
      <c r="T66" s="44"/>
    </row>
    <row r="67" spans="18:20">
      <c r="R67" s="44"/>
      <c r="S67" s="44"/>
      <c r="T67" s="44"/>
    </row>
    <row r="68" spans="18:20">
      <c r="R68" s="44"/>
      <c r="S68" s="44"/>
      <c r="T68" s="44"/>
    </row>
    <row r="69" spans="18:20">
      <c r="R69" s="44"/>
      <c r="S69" s="44"/>
      <c r="T69" s="44"/>
    </row>
    <row r="70" spans="18:20">
      <c r="R70" s="44"/>
      <c r="S70" s="44"/>
      <c r="T70" s="44"/>
    </row>
    <row r="71" spans="18:20">
      <c r="R71" s="44"/>
      <c r="S71" s="44"/>
      <c r="T71" s="44"/>
    </row>
    <row r="72" spans="18:20">
      <c r="R72" s="44"/>
      <c r="S72" s="44"/>
      <c r="T72" s="44"/>
    </row>
    <row r="73" spans="18:20">
      <c r="R73" s="44"/>
      <c r="S73" s="44"/>
      <c r="T73" s="44"/>
    </row>
    <row r="74" spans="18:20">
      <c r="R74" s="44"/>
      <c r="S74" s="44"/>
      <c r="T74" s="44"/>
    </row>
    <row r="75" spans="18:20">
      <c r="R75" s="44"/>
      <c r="S75" s="44"/>
      <c r="T75" s="44"/>
    </row>
    <row r="76" spans="18:20">
      <c r="R76" s="44"/>
      <c r="S76" s="44"/>
      <c r="T76" s="44"/>
    </row>
    <row r="77" spans="18:20">
      <c r="R77" s="44"/>
      <c r="S77" s="44"/>
      <c r="T77" s="44"/>
    </row>
    <row r="78" spans="18:20">
      <c r="R78" s="44"/>
      <c r="S78" s="44"/>
      <c r="T78" s="44"/>
    </row>
    <row r="79" spans="18:20">
      <c r="R79" s="44"/>
      <c r="S79" s="44"/>
      <c r="T79" s="44"/>
    </row>
    <row r="80" spans="18:20">
      <c r="R80" s="44"/>
      <c r="S80" s="44"/>
      <c r="T80" s="44"/>
    </row>
    <row r="81" spans="18:20">
      <c r="R81" s="44"/>
      <c r="S81" s="44"/>
      <c r="T81" s="44"/>
    </row>
    <row r="82" spans="18:20">
      <c r="R82" s="44"/>
      <c r="S82" s="44"/>
      <c r="T82" s="44"/>
    </row>
    <row r="83" spans="18:20">
      <c r="R83" s="44"/>
      <c r="S83" s="44"/>
      <c r="T83" s="44"/>
    </row>
    <row r="84" spans="18:20">
      <c r="R84" s="44"/>
      <c r="S84" s="44"/>
      <c r="T84" s="44"/>
    </row>
    <row r="85" spans="18:20">
      <c r="R85" s="44"/>
      <c r="S85" s="44"/>
      <c r="T85" s="44"/>
    </row>
    <row r="86" spans="18:20">
      <c r="R86" s="44"/>
      <c r="S86" s="44"/>
      <c r="T86" s="44"/>
    </row>
    <row r="87" spans="18:20">
      <c r="R87" s="44"/>
      <c r="S87" s="44"/>
      <c r="T87" s="44"/>
    </row>
    <row r="88" spans="18:20">
      <c r="R88" s="44"/>
      <c r="S88" s="44"/>
      <c r="T88" s="44"/>
    </row>
    <row r="89" spans="18:20">
      <c r="R89" s="44"/>
      <c r="S89" s="44"/>
      <c r="T89" s="44"/>
    </row>
    <row r="90" spans="18:20">
      <c r="R90" s="44"/>
      <c r="S90" s="44"/>
      <c r="T90" s="44"/>
    </row>
    <row r="91" spans="18:20">
      <c r="R91" s="44"/>
      <c r="S91" s="44"/>
      <c r="T91" s="44"/>
    </row>
    <row r="92" spans="18:20">
      <c r="R92" s="44"/>
      <c r="S92" s="44"/>
      <c r="T92" s="44"/>
    </row>
    <row r="93" spans="18:20">
      <c r="R93" s="44"/>
      <c r="S93" s="44"/>
      <c r="T93" s="44"/>
    </row>
    <row r="94" spans="18:20">
      <c r="R94" s="44"/>
      <c r="S94" s="44"/>
      <c r="T94" s="44"/>
    </row>
    <row r="95" spans="18:20">
      <c r="R95" s="44"/>
      <c r="S95" s="44"/>
      <c r="T95" s="44"/>
    </row>
    <row r="96" spans="18:20">
      <c r="R96" s="44"/>
      <c r="S96" s="44"/>
      <c r="T96" s="44"/>
    </row>
    <row r="97" spans="18:20">
      <c r="R97" s="44"/>
      <c r="S97" s="44"/>
      <c r="T97" s="44"/>
    </row>
    <row r="98" spans="18:20">
      <c r="R98" s="44"/>
      <c r="S98" s="44"/>
      <c r="T98" s="44"/>
    </row>
    <row r="99" spans="18:20">
      <c r="R99" s="44"/>
      <c r="S99" s="44"/>
      <c r="T99" s="44"/>
    </row>
    <row r="100" spans="18:20">
      <c r="R100" s="44"/>
      <c r="S100" s="44"/>
      <c r="T100" s="44"/>
    </row>
    <row r="101" spans="18:20">
      <c r="R101" s="44"/>
      <c r="S101" s="44"/>
      <c r="T101" s="44"/>
    </row>
    <row r="102" spans="18:20">
      <c r="R102" s="44"/>
      <c r="S102" s="44"/>
      <c r="T102" s="44"/>
    </row>
    <row r="103" spans="18:20">
      <c r="R103" s="44"/>
      <c r="S103" s="44"/>
      <c r="T103" s="44"/>
    </row>
    <row r="104" spans="18:20">
      <c r="R104" s="44"/>
      <c r="S104" s="44"/>
      <c r="T104" s="44"/>
    </row>
    <row r="105" spans="18:20">
      <c r="R105" s="44"/>
      <c r="S105" s="44"/>
      <c r="T105" s="44"/>
    </row>
    <row r="106" spans="18:20">
      <c r="R106" s="44"/>
      <c r="S106" s="44"/>
      <c r="T106" s="44"/>
    </row>
    <row r="107" spans="18:20">
      <c r="R107" s="44"/>
      <c r="S107" s="44"/>
      <c r="T107" s="44"/>
    </row>
    <row r="108" spans="18:20">
      <c r="R108" s="44"/>
      <c r="S108" s="44"/>
      <c r="T108" s="44"/>
    </row>
    <row r="109" spans="18:20">
      <c r="R109" s="44"/>
      <c r="S109" s="44"/>
      <c r="T109" s="44"/>
    </row>
    <row r="110" spans="18:20">
      <c r="R110" s="44"/>
      <c r="S110" s="44"/>
      <c r="T110" s="44"/>
    </row>
    <row r="111" spans="18:20">
      <c r="R111" s="44"/>
      <c r="S111" s="44"/>
      <c r="T111" s="44"/>
    </row>
    <row r="112" spans="18:20">
      <c r="R112" s="44"/>
      <c r="S112" s="44"/>
      <c r="T112" s="44"/>
    </row>
    <row r="113" spans="18:20">
      <c r="R113" s="44"/>
      <c r="S113" s="44"/>
      <c r="T113" s="44"/>
    </row>
    <row r="114" spans="18:20">
      <c r="R114" s="44"/>
      <c r="S114" s="44"/>
      <c r="T114" s="44"/>
    </row>
    <row r="115" spans="18:20">
      <c r="R115" s="44"/>
      <c r="S115" s="44"/>
      <c r="T115" s="44"/>
    </row>
    <row r="116" spans="18:20">
      <c r="R116" s="44"/>
      <c r="S116" s="44"/>
      <c r="T116" s="44"/>
    </row>
    <row r="117" spans="18:20">
      <c r="R117" s="44"/>
      <c r="S117" s="44"/>
      <c r="T117" s="44"/>
    </row>
    <row r="118" spans="18:20">
      <c r="R118" s="44"/>
      <c r="S118" s="44"/>
      <c r="T118" s="44"/>
    </row>
    <row r="119" spans="18:20">
      <c r="R119" s="44"/>
      <c r="S119" s="44"/>
      <c r="T119" s="44"/>
    </row>
    <row r="120" spans="18:20">
      <c r="R120" s="44"/>
      <c r="S120" s="44"/>
      <c r="T120" s="44"/>
    </row>
    <row r="121" spans="18:20">
      <c r="R121" s="44"/>
      <c r="S121" s="44"/>
      <c r="T121" s="44"/>
    </row>
    <row r="122" spans="18:20">
      <c r="R122" s="44"/>
      <c r="S122" s="44"/>
      <c r="T122" s="44"/>
    </row>
    <row r="123" spans="18:20">
      <c r="R123" s="44"/>
      <c r="S123" s="44"/>
      <c r="T123" s="44"/>
    </row>
    <row r="124" spans="18:20">
      <c r="R124" s="44"/>
      <c r="S124" s="44"/>
      <c r="T124" s="44"/>
    </row>
    <row r="125" spans="18:20">
      <c r="R125" s="44"/>
      <c r="S125" s="44"/>
      <c r="T125" s="44"/>
    </row>
    <row r="126" spans="18:20">
      <c r="R126" s="44"/>
      <c r="S126" s="44"/>
      <c r="T126" s="44"/>
    </row>
    <row r="127" spans="18:20">
      <c r="R127" s="44"/>
      <c r="S127" s="44"/>
      <c r="T127" s="44"/>
    </row>
    <row r="128" spans="18:20">
      <c r="R128" s="44"/>
      <c r="S128" s="44"/>
      <c r="T128" s="44"/>
    </row>
    <row r="129" spans="18:20">
      <c r="R129" s="44"/>
      <c r="S129" s="44"/>
      <c r="T129" s="44"/>
    </row>
    <row r="130" spans="18:20">
      <c r="R130" s="44"/>
      <c r="S130" s="44"/>
      <c r="T130" s="44"/>
    </row>
    <row r="131" spans="18:20">
      <c r="R131" s="44"/>
      <c r="S131" s="44"/>
      <c r="T131" s="44"/>
    </row>
    <row r="132" spans="18:20">
      <c r="R132" s="44"/>
      <c r="S132" s="44"/>
      <c r="T132" s="44"/>
    </row>
    <row r="133" spans="18:20">
      <c r="R133" s="44"/>
      <c r="S133" s="44"/>
      <c r="T133" s="44"/>
    </row>
    <row r="134" spans="18:20">
      <c r="R134" s="44"/>
      <c r="S134" s="44"/>
      <c r="T134" s="44"/>
    </row>
    <row r="135" spans="18:20">
      <c r="R135" s="44"/>
      <c r="S135" s="44"/>
      <c r="T135" s="44"/>
    </row>
    <row r="136" spans="18:20">
      <c r="R136" s="44"/>
      <c r="S136" s="44"/>
      <c r="T136" s="44"/>
    </row>
    <row r="137" spans="18:20">
      <c r="R137" s="44"/>
      <c r="S137" s="44"/>
      <c r="T137" s="44"/>
    </row>
    <row r="138" spans="18:20">
      <c r="R138" s="44"/>
      <c r="S138" s="44"/>
      <c r="T138" s="44"/>
    </row>
  </sheetData>
  <mergeCells count="4">
    <mergeCell ref="D5:F5"/>
    <mergeCell ref="H5:P5"/>
    <mergeCell ref="D6:F6"/>
    <mergeCell ref="H6:P6"/>
  </mergeCells>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73246-8CFD-49BF-9FB4-5D7D3091961A}">
  <sheetPr codeName="Sheet12">
    <tabColor theme="0" tint="-0.499984740745262"/>
  </sheetPr>
  <dimension ref="A2:Z88"/>
  <sheetViews>
    <sheetView showGridLines="0" workbookViewId="0"/>
  </sheetViews>
  <sheetFormatPr defaultColWidth="8.90625" defaultRowHeight="15"/>
  <cols>
    <col min="1" max="1" width="2.54296875" style="44" customWidth="1"/>
    <col min="2" max="3" width="22.81640625" style="44" customWidth="1"/>
    <col min="4" max="4" width="7.1796875" style="44" bestFit="1" customWidth="1"/>
    <col min="5" max="5" width="5.1796875" style="44" customWidth="1"/>
    <col min="6" max="6" width="4.453125" style="44" customWidth="1"/>
    <col min="7" max="7" width="15.36328125" style="44" bestFit="1" customWidth="1"/>
    <col min="8" max="8" width="4.453125" style="44" customWidth="1"/>
    <col min="9" max="9" width="3.08984375" style="44" bestFit="1" customWidth="1"/>
    <col min="10" max="10" width="3.1796875" style="44" bestFit="1" customWidth="1"/>
    <col min="11" max="11" width="3" style="44" bestFit="1" customWidth="1"/>
    <col min="12" max="12" width="12" style="44" bestFit="1" customWidth="1"/>
    <col min="13" max="13" width="4.453125" style="44" customWidth="1"/>
    <col min="14" max="14" width="30.453125" style="44" customWidth="1"/>
    <col min="15" max="15" width="27.36328125" style="44" customWidth="1"/>
    <col min="16" max="16" width="33.36328125" style="44" customWidth="1"/>
    <col min="17" max="17" width="2.36328125" style="44" customWidth="1"/>
    <col min="18" max="18" width="6.54296875" style="44" customWidth="1"/>
    <col min="19" max="23" width="20.6328125" style="44" customWidth="1"/>
    <col min="24" max="16384" width="8.90625" style="44"/>
  </cols>
  <sheetData>
    <row r="2" spans="1:26">
      <c r="A2" s="89"/>
      <c r="B2" s="112" t="s">
        <v>38</v>
      </c>
      <c r="C2" s="89"/>
      <c r="D2" s="89"/>
      <c r="E2" s="89"/>
      <c r="F2" s="89"/>
      <c r="G2" s="89"/>
      <c r="H2" s="89"/>
      <c r="I2" s="89"/>
      <c r="J2" s="89"/>
      <c r="K2" s="89"/>
      <c r="L2" s="89"/>
      <c r="M2" s="89"/>
      <c r="N2" s="89"/>
      <c r="O2" s="89"/>
      <c r="P2" s="89"/>
      <c r="Q2" s="89"/>
      <c r="R2" s="89"/>
      <c r="S2" s="89"/>
      <c r="T2" s="89"/>
      <c r="U2" s="89"/>
      <c r="V2" s="89"/>
      <c r="W2" s="89"/>
      <c r="X2" s="89"/>
      <c r="Y2" s="89"/>
      <c r="Z2" s="89"/>
    </row>
    <row r="3" spans="1:26" ht="7.5" customHeight="1">
      <c r="A3" s="74"/>
      <c r="B3" s="74"/>
      <c r="C3" s="74"/>
      <c r="D3" s="74"/>
      <c r="E3" s="74"/>
      <c r="F3" s="74"/>
      <c r="G3" s="74"/>
      <c r="H3" s="74"/>
      <c r="I3" s="74"/>
      <c r="J3" s="74"/>
      <c r="K3" s="74"/>
      <c r="L3" s="74"/>
      <c r="M3" s="74"/>
      <c r="N3" s="74"/>
      <c r="O3" s="74"/>
      <c r="P3" s="74"/>
      <c r="Q3" s="74"/>
      <c r="R3" s="74"/>
      <c r="S3" s="74"/>
      <c r="T3" s="74"/>
      <c r="U3" s="74"/>
      <c r="V3" s="74"/>
      <c r="W3" s="74"/>
      <c r="X3" s="74"/>
      <c r="Y3" s="74"/>
      <c r="Z3" s="74"/>
    </row>
    <row r="5" spans="1:26">
      <c r="B5" s="17" t="s">
        <v>30</v>
      </c>
      <c r="C5" s="17" t="s">
        <v>31</v>
      </c>
      <c r="D5" s="266" t="s">
        <v>37</v>
      </c>
      <c r="E5" s="267"/>
      <c r="F5" s="268"/>
      <c r="G5" s="17" t="s">
        <v>74</v>
      </c>
      <c r="H5" s="266" t="s">
        <v>85</v>
      </c>
      <c r="I5" s="267"/>
      <c r="J5" s="267"/>
      <c r="K5" s="267"/>
      <c r="L5" s="267"/>
      <c r="M5" s="267"/>
      <c r="N5" s="267"/>
      <c r="O5" s="267"/>
      <c r="P5" s="268"/>
    </row>
    <row r="6" spans="1:26" ht="37.5" customHeight="1">
      <c r="B6" s="30" t="s">
        <v>124</v>
      </c>
      <c r="C6" s="30" t="s">
        <v>123</v>
      </c>
      <c r="D6" s="237" t="s">
        <v>94</v>
      </c>
      <c r="E6" s="238"/>
      <c r="F6" s="239"/>
      <c r="G6" s="45" t="s">
        <v>75</v>
      </c>
      <c r="H6" s="287" t="s">
        <v>1359</v>
      </c>
      <c r="I6" s="288"/>
      <c r="J6" s="288"/>
      <c r="K6" s="288"/>
      <c r="L6" s="288"/>
      <c r="M6" s="288"/>
      <c r="N6" s="288"/>
      <c r="O6" s="288"/>
      <c r="P6" s="289"/>
      <c r="S6" s="44" t="s">
        <v>109</v>
      </c>
    </row>
    <row r="8" spans="1:26">
      <c r="B8" s="17" t="s">
        <v>32</v>
      </c>
      <c r="C8" s="17" t="s">
        <v>33</v>
      </c>
      <c r="D8" s="17" t="s">
        <v>34</v>
      </c>
      <c r="E8" s="109" t="s">
        <v>10</v>
      </c>
      <c r="F8" s="110" t="s">
        <v>23</v>
      </c>
      <c r="G8" s="110" t="s">
        <v>24</v>
      </c>
      <c r="H8" s="110" t="s">
        <v>25</v>
      </c>
      <c r="I8" s="110" t="s">
        <v>26</v>
      </c>
      <c r="J8" s="110" t="s">
        <v>27</v>
      </c>
      <c r="K8" s="110" t="s">
        <v>28</v>
      </c>
      <c r="L8" s="110" t="s">
        <v>29</v>
      </c>
      <c r="M8" s="110" t="s">
        <v>11</v>
      </c>
      <c r="N8" s="17" t="s">
        <v>35</v>
      </c>
      <c r="O8" s="17" t="s">
        <v>36</v>
      </c>
      <c r="P8" s="17" t="s">
        <v>12</v>
      </c>
      <c r="S8" s="105" t="s">
        <v>107</v>
      </c>
      <c r="T8" s="105" t="s">
        <v>107</v>
      </c>
      <c r="U8" s="105" t="s">
        <v>107</v>
      </c>
      <c r="V8" s="105" t="s">
        <v>107</v>
      </c>
      <c r="W8" s="105" t="s">
        <v>107</v>
      </c>
    </row>
    <row r="9" spans="1:26" ht="25.2">
      <c r="B9" s="46" t="s">
        <v>510</v>
      </c>
      <c r="C9" s="46" t="s">
        <v>422</v>
      </c>
      <c r="D9" s="46" t="s">
        <v>13</v>
      </c>
      <c r="E9" s="47">
        <v>40</v>
      </c>
      <c r="F9" s="47"/>
      <c r="G9" s="46"/>
      <c r="H9" s="46"/>
      <c r="I9" s="47" t="s">
        <v>14</v>
      </c>
      <c r="J9" s="47"/>
      <c r="K9" s="47"/>
      <c r="L9" s="46"/>
      <c r="M9" s="46" t="s">
        <v>14</v>
      </c>
      <c r="N9" s="48" t="s">
        <v>61</v>
      </c>
      <c r="O9" s="49"/>
      <c r="P9" s="49"/>
      <c r="S9" s="49"/>
      <c r="T9" s="49"/>
      <c r="U9" s="49"/>
      <c r="V9" s="49"/>
      <c r="W9" s="49"/>
    </row>
    <row r="10" spans="1:26" ht="25.2">
      <c r="B10" s="78" t="s">
        <v>1060</v>
      </c>
      <c r="C10" s="46" t="s">
        <v>1512</v>
      </c>
      <c r="D10" s="78" t="s">
        <v>47</v>
      </c>
      <c r="E10" s="79">
        <v>1</v>
      </c>
      <c r="F10" s="79"/>
      <c r="G10" s="78"/>
      <c r="H10" s="78"/>
      <c r="I10" s="79"/>
      <c r="J10" s="79"/>
      <c r="K10" s="79"/>
      <c r="L10" s="78" t="s">
        <v>1137</v>
      </c>
      <c r="M10" s="78"/>
      <c r="N10" s="80"/>
      <c r="O10" s="81" t="s">
        <v>1133</v>
      </c>
      <c r="P10" s="80"/>
      <c r="S10" s="49"/>
      <c r="T10" s="49"/>
      <c r="U10" s="49"/>
      <c r="V10" s="49"/>
      <c r="W10" s="49"/>
    </row>
    <row r="11" spans="1:26">
      <c r="B11" s="78" t="s">
        <v>1061</v>
      </c>
      <c r="C11" s="136" t="s">
        <v>1513</v>
      </c>
      <c r="D11" s="78" t="s">
        <v>47</v>
      </c>
      <c r="E11" s="79">
        <v>4</v>
      </c>
      <c r="F11" s="79"/>
      <c r="G11" s="78"/>
      <c r="H11" s="78"/>
      <c r="I11" s="79"/>
      <c r="J11" s="79" t="s">
        <v>14</v>
      </c>
      <c r="K11" s="79"/>
      <c r="L11" s="78" t="s">
        <v>1138</v>
      </c>
      <c r="M11" s="78"/>
      <c r="N11" s="80" t="s">
        <v>1134</v>
      </c>
      <c r="O11" s="81"/>
      <c r="P11" s="80"/>
      <c r="S11" s="49"/>
      <c r="T11" s="49"/>
      <c r="U11" s="49"/>
      <c r="V11" s="49"/>
      <c r="W11" s="49"/>
    </row>
    <row r="12" spans="1:26">
      <c r="B12" s="78" t="s">
        <v>1062</v>
      </c>
      <c r="C12" s="136" t="s">
        <v>1514</v>
      </c>
      <c r="D12" s="78" t="s">
        <v>47</v>
      </c>
      <c r="E12" s="79">
        <v>100</v>
      </c>
      <c r="F12" s="79"/>
      <c r="G12" s="78"/>
      <c r="H12" s="78"/>
      <c r="I12" s="79"/>
      <c r="J12" s="79"/>
      <c r="K12" s="79"/>
      <c r="L12" s="78" t="s">
        <v>76</v>
      </c>
      <c r="M12" s="78"/>
      <c r="N12" s="80"/>
      <c r="O12" s="81"/>
      <c r="P12" s="80"/>
      <c r="S12" s="49"/>
      <c r="T12" s="49"/>
      <c r="U12" s="49"/>
      <c r="V12" s="49"/>
      <c r="W12" s="49"/>
    </row>
    <row r="13" spans="1:26">
      <c r="B13" s="78" t="s">
        <v>1063</v>
      </c>
      <c r="C13" s="136" t="s">
        <v>1515</v>
      </c>
      <c r="D13" s="78" t="s">
        <v>47</v>
      </c>
      <c r="E13" s="79">
        <v>8</v>
      </c>
      <c r="F13" s="79"/>
      <c r="G13" s="78"/>
      <c r="H13" s="78"/>
      <c r="I13" s="79"/>
      <c r="J13" s="79" t="s">
        <v>14</v>
      </c>
      <c r="K13" s="79"/>
      <c r="L13" s="78" t="s">
        <v>82</v>
      </c>
      <c r="M13" s="78"/>
      <c r="N13" s="80" t="s">
        <v>1134</v>
      </c>
      <c r="O13" s="81"/>
      <c r="P13" s="80"/>
      <c r="S13" s="49"/>
      <c r="T13" s="49"/>
      <c r="U13" s="49"/>
      <c r="V13" s="49"/>
      <c r="W13" s="49"/>
    </row>
    <row r="14" spans="1:26">
      <c r="B14" s="78" t="s">
        <v>1064</v>
      </c>
      <c r="C14" s="136" t="s">
        <v>1516</v>
      </c>
      <c r="D14" s="78" t="s">
        <v>47</v>
      </c>
      <c r="E14" s="79">
        <v>100</v>
      </c>
      <c r="F14" s="79"/>
      <c r="G14" s="78"/>
      <c r="H14" s="78"/>
      <c r="I14" s="79"/>
      <c r="J14" s="79"/>
      <c r="K14" s="79"/>
      <c r="L14" s="78" t="s">
        <v>76</v>
      </c>
      <c r="M14" s="78"/>
      <c r="N14" s="80"/>
      <c r="O14" s="81"/>
      <c r="P14" s="80"/>
      <c r="S14" s="49"/>
      <c r="T14" s="49"/>
      <c r="U14" s="49"/>
      <c r="V14" s="49"/>
      <c r="W14" s="49"/>
    </row>
    <row r="15" spans="1:26">
      <c r="B15" s="78" t="s">
        <v>1065</v>
      </c>
      <c r="C15" s="136" t="s">
        <v>1517</v>
      </c>
      <c r="D15" s="78" t="s">
        <v>47</v>
      </c>
      <c r="E15" s="79">
        <v>200</v>
      </c>
      <c r="F15" s="79"/>
      <c r="G15" s="78"/>
      <c r="H15" s="78"/>
      <c r="I15" s="79"/>
      <c r="J15" s="79"/>
      <c r="K15" s="79"/>
      <c r="L15" s="78" t="s">
        <v>1139</v>
      </c>
      <c r="M15" s="78"/>
      <c r="N15" s="80"/>
      <c r="O15" s="81"/>
      <c r="P15" s="80"/>
      <c r="S15" s="49"/>
      <c r="T15" s="49"/>
      <c r="U15" s="49"/>
      <c r="V15" s="49"/>
      <c r="W15" s="49"/>
    </row>
    <row r="16" spans="1:26">
      <c r="B16" s="78" t="s">
        <v>1066</v>
      </c>
      <c r="C16" s="136" t="s">
        <v>1518</v>
      </c>
      <c r="D16" s="78" t="s">
        <v>47</v>
      </c>
      <c r="E16" s="79">
        <v>200</v>
      </c>
      <c r="F16" s="79"/>
      <c r="G16" s="78"/>
      <c r="H16" s="78"/>
      <c r="I16" s="79"/>
      <c r="J16" s="79"/>
      <c r="K16" s="79"/>
      <c r="L16" s="78" t="s">
        <v>1139</v>
      </c>
      <c r="M16" s="78"/>
      <c r="N16" s="80"/>
      <c r="O16" s="81"/>
      <c r="P16" s="80"/>
      <c r="S16" s="49"/>
      <c r="T16" s="49"/>
      <c r="U16" s="49"/>
      <c r="V16" s="49"/>
      <c r="W16" s="49"/>
    </row>
    <row r="17" spans="2:23">
      <c r="B17" s="78" t="s">
        <v>1067</v>
      </c>
      <c r="C17" s="136" t="s">
        <v>1519</v>
      </c>
      <c r="D17" s="78" t="s">
        <v>47</v>
      </c>
      <c r="E17" s="79">
        <v>200</v>
      </c>
      <c r="F17" s="79"/>
      <c r="G17" s="78"/>
      <c r="H17" s="78"/>
      <c r="I17" s="79"/>
      <c r="J17" s="79"/>
      <c r="K17" s="79"/>
      <c r="L17" s="78" t="s">
        <v>1139</v>
      </c>
      <c r="M17" s="78"/>
      <c r="N17" s="80"/>
      <c r="O17" s="81"/>
      <c r="P17" s="80"/>
      <c r="S17" s="49"/>
      <c r="T17" s="49"/>
      <c r="U17" s="49"/>
      <c r="V17" s="49"/>
      <c r="W17" s="49"/>
    </row>
    <row r="18" spans="2:23">
      <c r="B18" s="78" t="s">
        <v>1068</v>
      </c>
      <c r="C18" s="136" t="s">
        <v>1520</v>
      </c>
      <c r="D18" s="78" t="s">
        <v>47</v>
      </c>
      <c r="E18" s="79">
        <v>200</v>
      </c>
      <c r="F18" s="79"/>
      <c r="G18" s="78"/>
      <c r="H18" s="78"/>
      <c r="I18" s="79"/>
      <c r="J18" s="79"/>
      <c r="K18" s="79"/>
      <c r="L18" s="78" t="s">
        <v>1139</v>
      </c>
      <c r="M18" s="78"/>
      <c r="N18" s="80"/>
      <c r="O18" s="81"/>
      <c r="P18" s="80"/>
      <c r="S18" s="49"/>
      <c r="T18" s="49"/>
      <c r="U18" s="49"/>
      <c r="V18" s="49"/>
      <c r="W18" s="49"/>
    </row>
    <row r="19" spans="2:23">
      <c r="B19" s="78" t="s">
        <v>1069</v>
      </c>
      <c r="C19" s="136" t="s">
        <v>1521</v>
      </c>
      <c r="D19" s="78" t="s">
        <v>47</v>
      </c>
      <c r="E19" s="79">
        <v>200</v>
      </c>
      <c r="F19" s="79"/>
      <c r="G19" s="78"/>
      <c r="H19" s="78"/>
      <c r="I19" s="79"/>
      <c r="J19" s="79"/>
      <c r="K19" s="79"/>
      <c r="L19" s="78" t="s">
        <v>1139</v>
      </c>
      <c r="M19" s="78"/>
      <c r="N19" s="80"/>
      <c r="O19" s="81"/>
      <c r="P19" s="80"/>
      <c r="S19" s="49"/>
      <c r="T19" s="49"/>
      <c r="U19" s="49"/>
      <c r="V19" s="49"/>
      <c r="W19" s="49"/>
    </row>
    <row r="20" spans="2:23">
      <c r="B20" s="78" t="s">
        <v>1070</v>
      </c>
      <c r="C20" s="136" t="s">
        <v>1522</v>
      </c>
      <c r="D20" s="78" t="s">
        <v>47</v>
      </c>
      <c r="E20" s="79">
        <v>200</v>
      </c>
      <c r="F20" s="79"/>
      <c r="G20" s="78"/>
      <c r="H20" s="78"/>
      <c r="I20" s="79"/>
      <c r="J20" s="79"/>
      <c r="K20" s="79"/>
      <c r="L20" s="78" t="s">
        <v>1139</v>
      </c>
      <c r="M20" s="78"/>
      <c r="N20" s="80"/>
      <c r="O20" s="81"/>
      <c r="P20" s="80"/>
      <c r="S20" s="49"/>
      <c r="T20" s="49"/>
      <c r="U20" s="49"/>
      <c r="V20" s="49"/>
      <c r="W20" s="49"/>
    </row>
    <row r="21" spans="2:23">
      <c r="B21" s="78" t="s">
        <v>1071</v>
      </c>
      <c r="C21" s="136" t="s">
        <v>1523</v>
      </c>
      <c r="D21" s="78" t="s">
        <v>47</v>
      </c>
      <c r="E21" s="79">
        <v>200</v>
      </c>
      <c r="F21" s="79"/>
      <c r="G21" s="78"/>
      <c r="H21" s="78"/>
      <c r="I21" s="79"/>
      <c r="J21" s="79"/>
      <c r="K21" s="79"/>
      <c r="L21" s="78" t="s">
        <v>1139</v>
      </c>
      <c r="M21" s="78"/>
      <c r="N21" s="80"/>
      <c r="O21" s="81"/>
      <c r="P21" s="80"/>
      <c r="S21" s="49"/>
      <c r="T21" s="49"/>
      <c r="U21" s="49"/>
      <c r="V21" s="49"/>
      <c r="W21" s="49"/>
    </row>
    <row r="22" spans="2:23">
      <c r="B22" s="78" t="s">
        <v>1072</v>
      </c>
      <c r="C22" s="136" t="s">
        <v>1524</v>
      </c>
      <c r="D22" s="78" t="s">
        <v>47</v>
      </c>
      <c r="E22" s="79">
        <v>200</v>
      </c>
      <c r="F22" s="79"/>
      <c r="G22" s="78"/>
      <c r="H22" s="78"/>
      <c r="I22" s="79"/>
      <c r="J22" s="79"/>
      <c r="K22" s="79"/>
      <c r="L22" s="78" t="s">
        <v>1139</v>
      </c>
      <c r="M22" s="78"/>
      <c r="N22" s="80"/>
      <c r="O22" s="81"/>
      <c r="P22" s="80"/>
      <c r="S22" s="49"/>
      <c r="T22" s="49"/>
      <c r="U22" s="49"/>
      <c r="V22" s="49"/>
      <c r="W22" s="49"/>
    </row>
    <row r="23" spans="2:23">
      <c r="B23" s="78" t="s">
        <v>1073</v>
      </c>
      <c r="C23" s="136" t="s">
        <v>1525</v>
      </c>
      <c r="D23" s="78" t="s">
        <v>47</v>
      </c>
      <c r="E23" s="79">
        <v>200</v>
      </c>
      <c r="F23" s="79"/>
      <c r="G23" s="78"/>
      <c r="H23" s="78"/>
      <c r="I23" s="79"/>
      <c r="J23" s="79"/>
      <c r="K23" s="79"/>
      <c r="L23" s="78" t="s">
        <v>1139</v>
      </c>
      <c r="M23" s="78"/>
      <c r="N23" s="80"/>
      <c r="O23" s="81"/>
      <c r="P23" s="80"/>
      <c r="S23" s="49"/>
      <c r="T23" s="49"/>
      <c r="U23" s="49"/>
      <c r="V23" s="49"/>
      <c r="W23" s="49"/>
    </row>
    <row r="24" spans="2:23">
      <c r="B24" s="78" t="s">
        <v>1074</v>
      </c>
      <c r="C24" s="136" t="s">
        <v>1526</v>
      </c>
      <c r="D24" s="78" t="s">
        <v>47</v>
      </c>
      <c r="E24" s="79">
        <v>200</v>
      </c>
      <c r="F24" s="79"/>
      <c r="G24" s="78"/>
      <c r="H24" s="78"/>
      <c r="I24" s="79"/>
      <c r="J24" s="79"/>
      <c r="K24" s="79"/>
      <c r="L24" s="78" t="s">
        <v>1139</v>
      </c>
      <c r="M24" s="78"/>
      <c r="N24" s="80"/>
      <c r="O24" s="81"/>
      <c r="P24" s="80"/>
      <c r="S24" s="49"/>
      <c r="T24" s="49"/>
      <c r="U24" s="49"/>
      <c r="V24" s="49"/>
      <c r="W24" s="49"/>
    </row>
    <row r="25" spans="2:23" ht="37.799999999999997">
      <c r="B25" s="78" t="s">
        <v>1075</v>
      </c>
      <c r="C25" s="136" t="s">
        <v>1527</v>
      </c>
      <c r="D25" s="78" t="s">
        <v>47</v>
      </c>
      <c r="E25" s="79">
        <v>16</v>
      </c>
      <c r="F25" s="79"/>
      <c r="G25" s="78"/>
      <c r="H25" s="78"/>
      <c r="I25" s="79"/>
      <c r="J25" s="79"/>
      <c r="K25" s="79"/>
      <c r="L25" s="78" t="s">
        <v>79</v>
      </c>
      <c r="M25" s="78"/>
      <c r="N25" s="80" t="s">
        <v>1141</v>
      </c>
      <c r="O25" s="81"/>
      <c r="P25" s="83" t="s">
        <v>1145</v>
      </c>
      <c r="S25" s="49"/>
      <c r="T25" s="49"/>
      <c r="U25" s="49"/>
      <c r="V25" s="49"/>
      <c r="W25" s="49"/>
    </row>
    <row r="26" spans="2:23">
      <c r="B26" s="78" t="s">
        <v>1076</v>
      </c>
      <c r="C26" s="136" t="s">
        <v>1302</v>
      </c>
      <c r="D26" s="78" t="s">
        <v>47</v>
      </c>
      <c r="E26" s="79">
        <v>16</v>
      </c>
      <c r="F26" s="79"/>
      <c r="G26" s="78"/>
      <c r="H26" s="78"/>
      <c r="I26" s="79"/>
      <c r="J26" s="79"/>
      <c r="K26" s="79"/>
      <c r="L26" s="78" t="s">
        <v>79</v>
      </c>
      <c r="M26" s="78"/>
      <c r="N26" s="80" t="s">
        <v>1141</v>
      </c>
      <c r="O26" s="81"/>
      <c r="P26" s="80"/>
      <c r="S26" s="49"/>
      <c r="T26" s="49"/>
      <c r="U26" s="49"/>
      <c r="V26" s="49"/>
      <c r="W26" s="49"/>
    </row>
    <row r="27" spans="2:23">
      <c r="B27" s="78" t="s">
        <v>1077</v>
      </c>
      <c r="C27" s="136" t="s">
        <v>1303</v>
      </c>
      <c r="D27" s="78" t="s">
        <v>47</v>
      </c>
      <c r="E27" s="79">
        <v>16</v>
      </c>
      <c r="F27" s="79"/>
      <c r="G27" s="78"/>
      <c r="H27" s="78"/>
      <c r="I27" s="79"/>
      <c r="J27" s="79"/>
      <c r="K27" s="79"/>
      <c r="L27" s="78" t="s">
        <v>79</v>
      </c>
      <c r="M27" s="78"/>
      <c r="N27" s="80" t="s">
        <v>1141</v>
      </c>
      <c r="O27" s="81"/>
      <c r="P27" s="80"/>
      <c r="S27" s="49"/>
      <c r="T27" s="49"/>
      <c r="U27" s="49"/>
      <c r="V27" s="49"/>
      <c r="W27" s="49"/>
    </row>
    <row r="28" spans="2:23">
      <c r="B28" s="78" t="s">
        <v>1078</v>
      </c>
      <c r="C28" s="136" t="s">
        <v>1304</v>
      </c>
      <c r="D28" s="78" t="s">
        <v>47</v>
      </c>
      <c r="E28" s="79">
        <v>16</v>
      </c>
      <c r="F28" s="79"/>
      <c r="G28" s="78"/>
      <c r="H28" s="78"/>
      <c r="I28" s="79"/>
      <c r="J28" s="79"/>
      <c r="K28" s="79"/>
      <c r="L28" s="78" t="s">
        <v>79</v>
      </c>
      <c r="M28" s="78"/>
      <c r="N28" s="80" t="s">
        <v>1141</v>
      </c>
      <c r="O28" s="81"/>
      <c r="P28" s="80"/>
      <c r="S28" s="49"/>
      <c r="T28" s="49"/>
      <c r="U28" s="49"/>
      <c r="V28" s="49"/>
      <c r="W28" s="49"/>
    </row>
    <row r="29" spans="2:23">
      <c r="B29" s="78" t="s">
        <v>1079</v>
      </c>
      <c r="C29" s="136" t="s">
        <v>1305</v>
      </c>
      <c r="D29" s="78" t="s">
        <v>47</v>
      </c>
      <c r="E29" s="79">
        <v>16</v>
      </c>
      <c r="F29" s="79"/>
      <c r="G29" s="78"/>
      <c r="H29" s="78"/>
      <c r="I29" s="79"/>
      <c r="J29" s="79"/>
      <c r="K29" s="79"/>
      <c r="L29" s="78" t="s">
        <v>79</v>
      </c>
      <c r="M29" s="78"/>
      <c r="N29" s="80" t="s">
        <v>1141</v>
      </c>
      <c r="O29" s="81"/>
      <c r="P29" s="80"/>
      <c r="S29" s="49"/>
      <c r="T29" s="49"/>
      <c r="U29" s="49"/>
      <c r="V29" s="49"/>
      <c r="W29" s="49"/>
    </row>
    <row r="30" spans="2:23">
      <c r="B30" s="78" t="s">
        <v>1080</v>
      </c>
      <c r="C30" s="136" t="s">
        <v>1306</v>
      </c>
      <c r="D30" s="78" t="s">
        <v>47</v>
      </c>
      <c r="E30" s="79">
        <v>16</v>
      </c>
      <c r="F30" s="79"/>
      <c r="G30" s="78"/>
      <c r="H30" s="78"/>
      <c r="I30" s="79"/>
      <c r="J30" s="79"/>
      <c r="K30" s="79"/>
      <c r="L30" s="78" t="s">
        <v>79</v>
      </c>
      <c r="M30" s="78"/>
      <c r="N30" s="80" t="s">
        <v>1141</v>
      </c>
      <c r="O30" s="81"/>
      <c r="P30" s="80"/>
      <c r="S30" s="49"/>
      <c r="T30" s="49"/>
      <c r="U30" s="49"/>
      <c r="V30" s="49"/>
      <c r="W30" s="49"/>
    </row>
    <row r="31" spans="2:23">
      <c r="B31" s="78" t="s">
        <v>1081</v>
      </c>
      <c r="C31" s="136" t="s">
        <v>1307</v>
      </c>
      <c r="D31" s="78" t="s">
        <v>47</v>
      </c>
      <c r="E31" s="79">
        <v>16</v>
      </c>
      <c r="F31" s="79"/>
      <c r="G31" s="78"/>
      <c r="H31" s="78"/>
      <c r="I31" s="79"/>
      <c r="J31" s="79"/>
      <c r="K31" s="79"/>
      <c r="L31" s="78" t="s">
        <v>79</v>
      </c>
      <c r="M31" s="78"/>
      <c r="N31" s="80" t="s">
        <v>1141</v>
      </c>
      <c r="O31" s="81"/>
      <c r="P31" s="80"/>
      <c r="S31" s="49"/>
      <c r="T31" s="49"/>
      <c r="U31" s="49"/>
      <c r="V31" s="49"/>
      <c r="W31" s="49"/>
    </row>
    <row r="32" spans="2:23">
      <c r="B32" s="78" t="s">
        <v>1082</v>
      </c>
      <c r="C32" s="136" t="s">
        <v>1308</v>
      </c>
      <c r="D32" s="78" t="s">
        <v>47</v>
      </c>
      <c r="E32" s="79">
        <v>16</v>
      </c>
      <c r="F32" s="79"/>
      <c r="G32" s="78"/>
      <c r="H32" s="78"/>
      <c r="I32" s="79"/>
      <c r="J32" s="79"/>
      <c r="K32" s="79"/>
      <c r="L32" s="78" t="s">
        <v>79</v>
      </c>
      <c r="M32" s="78"/>
      <c r="N32" s="80" t="s">
        <v>1141</v>
      </c>
      <c r="O32" s="81"/>
      <c r="P32" s="80"/>
      <c r="S32" s="49"/>
      <c r="T32" s="49"/>
      <c r="U32" s="49"/>
      <c r="V32" s="49"/>
      <c r="W32" s="49"/>
    </row>
    <row r="33" spans="2:23">
      <c r="B33" s="78" t="s">
        <v>1083</v>
      </c>
      <c r="C33" s="136" t="s">
        <v>1309</v>
      </c>
      <c r="D33" s="78" t="s">
        <v>47</v>
      </c>
      <c r="E33" s="79">
        <v>16</v>
      </c>
      <c r="F33" s="79"/>
      <c r="G33" s="78"/>
      <c r="H33" s="78"/>
      <c r="I33" s="79"/>
      <c r="J33" s="79"/>
      <c r="K33" s="79"/>
      <c r="L33" s="78" t="s">
        <v>79</v>
      </c>
      <c r="M33" s="78"/>
      <c r="N33" s="80" t="s">
        <v>1141</v>
      </c>
      <c r="O33" s="81"/>
      <c r="P33" s="80"/>
      <c r="S33" s="49"/>
      <c r="T33" s="49"/>
      <c r="U33" s="49"/>
      <c r="V33" s="49"/>
      <c r="W33" s="49"/>
    </row>
    <row r="34" spans="2:23">
      <c r="B34" s="78" t="s">
        <v>1084</v>
      </c>
      <c r="C34" s="136" t="s">
        <v>1310</v>
      </c>
      <c r="D34" s="78" t="s">
        <v>47</v>
      </c>
      <c r="E34" s="79">
        <v>16</v>
      </c>
      <c r="F34" s="79"/>
      <c r="G34" s="78"/>
      <c r="H34" s="78"/>
      <c r="I34" s="79"/>
      <c r="J34" s="79"/>
      <c r="K34" s="79"/>
      <c r="L34" s="78" t="s">
        <v>79</v>
      </c>
      <c r="M34" s="78"/>
      <c r="N34" s="80" t="s">
        <v>1141</v>
      </c>
      <c r="O34" s="81"/>
      <c r="P34" s="80"/>
      <c r="S34" s="49"/>
      <c r="T34" s="49"/>
      <c r="U34" s="49"/>
      <c r="V34" s="49"/>
      <c r="W34" s="49"/>
    </row>
    <row r="35" spans="2:23">
      <c r="B35" s="78" t="s">
        <v>1085</v>
      </c>
      <c r="C35" s="136" t="s">
        <v>1528</v>
      </c>
      <c r="D35" s="78" t="s">
        <v>47</v>
      </c>
      <c r="E35" s="79">
        <v>14</v>
      </c>
      <c r="F35" s="79"/>
      <c r="G35" s="78"/>
      <c r="H35" s="78"/>
      <c r="I35" s="79"/>
      <c r="J35" s="79"/>
      <c r="K35" s="79"/>
      <c r="L35" s="78" t="s">
        <v>1140</v>
      </c>
      <c r="M35" s="78"/>
      <c r="N35" s="80" t="s">
        <v>1142</v>
      </c>
      <c r="O35" s="81"/>
      <c r="P35" s="80"/>
      <c r="S35" s="49"/>
      <c r="T35" s="49"/>
      <c r="U35" s="49"/>
      <c r="V35" s="49"/>
      <c r="W35" s="49"/>
    </row>
    <row r="36" spans="2:23">
      <c r="B36" s="78" t="s">
        <v>1086</v>
      </c>
      <c r="C36" s="136" t="s">
        <v>1529</v>
      </c>
      <c r="D36" s="78" t="s">
        <v>47</v>
      </c>
      <c r="E36" s="79">
        <v>14</v>
      </c>
      <c r="F36" s="79"/>
      <c r="G36" s="78"/>
      <c r="H36" s="78"/>
      <c r="I36" s="79"/>
      <c r="J36" s="79"/>
      <c r="K36" s="79"/>
      <c r="L36" s="78" t="s">
        <v>1140</v>
      </c>
      <c r="M36" s="78"/>
      <c r="N36" s="80" t="s">
        <v>1142</v>
      </c>
      <c r="O36" s="81"/>
      <c r="P36" s="80"/>
      <c r="S36" s="49"/>
      <c r="T36" s="49"/>
      <c r="U36" s="49"/>
      <c r="V36" s="49"/>
      <c r="W36" s="49"/>
    </row>
    <row r="37" spans="2:23">
      <c r="B37" s="78" t="s">
        <v>1087</v>
      </c>
      <c r="C37" s="136" t="s">
        <v>1530</v>
      </c>
      <c r="D37" s="78" t="s">
        <v>47</v>
      </c>
      <c r="E37" s="79">
        <v>14</v>
      </c>
      <c r="F37" s="79"/>
      <c r="G37" s="78"/>
      <c r="H37" s="78"/>
      <c r="I37" s="79"/>
      <c r="J37" s="79"/>
      <c r="K37" s="79"/>
      <c r="L37" s="78" t="s">
        <v>1140</v>
      </c>
      <c r="M37" s="78"/>
      <c r="N37" s="80" t="s">
        <v>1142</v>
      </c>
      <c r="O37" s="81"/>
      <c r="P37" s="80"/>
      <c r="S37" s="49"/>
      <c r="T37" s="49"/>
      <c r="U37" s="49"/>
      <c r="V37" s="49"/>
      <c r="W37" s="49"/>
    </row>
    <row r="38" spans="2:23">
      <c r="B38" s="78" t="s">
        <v>1088</v>
      </c>
      <c r="C38" s="136" t="s">
        <v>1531</v>
      </c>
      <c r="D38" s="78" t="s">
        <v>47</v>
      </c>
      <c r="E38" s="79">
        <v>14</v>
      </c>
      <c r="F38" s="79"/>
      <c r="G38" s="78"/>
      <c r="H38" s="78"/>
      <c r="I38" s="79"/>
      <c r="J38" s="79"/>
      <c r="K38" s="79"/>
      <c r="L38" s="78" t="s">
        <v>1140</v>
      </c>
      <c r="M38" s="78"/>
      <c r="N38" s="80" t="s">
        <v>1142</v>
      </c>
      <c r="O38" s="81"/>
      <c r="P38" s="80"/>
      <c r="S38" s="49"/>
      <c r="T38" s="49"/>
      <c r="U38" s="49"/>
      <c r="V38" s="49"/>
      <c r="W38" s="49"/>
    </row>
    <row r="39" spans="2:23">
      <c r="B39" s="78" t="s">
        <v>1089</v>
      </c>
      <c r="C39" s="136" t="s">
        <v>1532</v>
      </c>
      <c r="D39" s="78" t="s">
        <v>47</v>
      </c>
      <c r="E39" s="79">
        <v>14</v>
      </c>
      <c r="F39" s="79"/>
      <c r="G39" s="78"/>
      <c r="H39" s="78"/>
      <c r="I39" s="79"/>
      <c r="J39" s="79"/>
      <c r="K39" s="79"/>
      <c r="L39" s="78" t="s">
        <v>1140</v>
      </c>
      <c r="M39" s="78"/>
      <c r="N39" s="80" t="s">
        <v>1142</v>
      </c>
      <c r="O39" s="81"/>
      <c r="P39" s="80"/>
      <c r="S39" s="49"/>
      <c r="T39" s="49"/>
      <c r="U39" s="49"/>
      <c r="V39" s="49"/>
      <c r="W39" s="49"/>
    </row>
    <row r="40" spans="2:23">
      <c r="B40" s="78" t="s">
        <v>1090</v>
      </c>
      <c r="C40" s="136" t="s">
        <v>1533</v>
      </c>
      <c r="D40" s="78" t="s">
        <v>47</v>
      </c>
      <c r="E40" s="79">
        <v>14</v>
      </c>
      <c r="F40" s="79"/>
      <c r="G40" s="78"/>
      <c r="H40" s="78"/>
      <c r="I40" s="79"/>
      <c r="J40" s="79"/>
      <c r="K40" s="79"/>
      <c r="L40" s="78" t="s">
        <v>1140</v>
      </c>
      <c r="M40" s="78"/>
      <c r="N40" s="80" t="s">
        <v>1142</v>
      </c>
      <c r="O40" s="81"/>
      <c r="P40" s="80"/>
      <c r="S40" s="49"/>
      <c r="T40" s="49"/>
      <c r="U40" s="49"/>
      <c r="V40" s="49"/>
      <c r="W40" s="49"/>
    </row>
    <row r="41" spans="2:23">
      <c r="B41" s="78" t="s">
        <v>1091</v>
      </c>
      <c r="C41" s="136" t="s">
        <v>1534</v>
      </c>
      <c r="D41" s="78" t="s">
        <v>47</v>
      </c>
      <c r="E41" s="79">
        <v>14</v>
      </c>
      <c r="F41" s="79"/>
      <c r="G41" s="78"/>
      <c r="H41" s="78"/>
      <c r="I41" s="79"/>
      <c r="J41" s="79"/>
      <c r="K41" s="79"/>
      <c r="L41" s="78" t="s">
        <v>1140</v>
      </c>
      <c r="M41" s="78"/>
      <c r="N41" s="80" t="s">
        <v>1142</v>
      </c>
      <c r="O41" s="81"/>
      <c r="P41" s="80"/>
      <c r="S41" s="49"/>
      <c r="T41" s="49"/>
      <c r="U41" s="49"/>
      <c r="V41" s="49"/>
      <c r="W41" s="49"/>
    </row>
    <row r="42" spans="2:23">
      <c r="B42" s="78" t="s">
        <v>1092</v>
      </c>
      <c r="C42" s="136" t="s">
        <v>1535</v>
      </c>
      <c r="D42" s="78" t="s">
        <v>47</v>
      </c>
      <c r="E42" s="79">
        <v>14</v>
      </c>
      <c r="F42" s="79"/>
      <c r="G42" s="78"/>
      <c r="H42" s="78"/>
      <c r="I42" s="79"/>
      <c r="J42" s="79"/>
      <c r="K42" s="79"/>
      <c r="L42" s="78" t="s">
        <v>1140</v>
      </c>
      <c r="M42" s="78"/>
      <c r="N42" s="80" t="s">
        <v>1142</v>
      </c>
      <c r="O42" s="81"/>
      <c r="P42" s="80"/>
      <c r="S42" s="49"/>
      <c r="T42" s="49"/>
      <c r="U42" s="49"/>
      <c r="V42" s="49"/>
      <c r="W42" s="49"/>
    </row>
    <row r="43" spans="2:23">
      <c r="B43" s="78" t="s">
        <v>1093</v>
      </c>
      <c r="C43" s="136" t="s">
        <v>1536</v>
      </c>
      <c r="D43" s="78" t="s">
        <v>47</v>
      </c>
      <c r="E43" s="79">
        <v>14</v>
      </c>
      <c r="F43" s="79"/>
      <c r="G43" s="78"/>
      <c r="H43" s="78"/>
      <c r="I43" s="79"/>
      <c r="J43" s="79"/>
      <c r="K43" s="79"/>
      <c r="L43" s="78" t="s">
        <v>1140</v>
      </c>
      <c r="M43" s="78"/>
      <c r="N43" s="80" t="s">
        <v>1142</v>
      </c>
      <c r="O43" s="81"/>
      <c r="P43" s="80"/>
      <c r="S43" s="49"/>
      <c r="T43" s="49"/>
      <c r="U43" s="49"/>
      <c r="V43" s="49"/>
      <c r="W43" s="49"/>
    </row>
    <row r="44" spans="2:23">
      <c r="B44" s="78" t="s">
        <v>1094</v>
      </c>
      <c r="C44" s="136" t="s">
        <v>1537</v>
      </c>
      <c r="D44" s="78" t="s">
        <v>47</v>
      </c>
      <c r="E44" s="79">
        <v>14</v>
      </c>
      <c r="F44" s="79"/>
      <c r="G44" s="78"/>
      <c r="H44" s="78"/>
      <c r="I44" s="79"/>
      <c r="J44" s="79"/>
      <c r="K44" s="79"/>
      <c r="L44" s="78" t="s">
        <v>1140</v>
      </c>
      <c r="M44" s="78"/>
      <c r="N44" s="80" t="s">
        <v>1142</v>
      </c>
      <c r="O44" s="81"/>
      <c r="P44" s="80"/>
      <c r="S44" s="49"/>
      <c r="T44" s="49"/>
      <c r="U44" s="49"/>
      <c r="V44" s="49"/>
      <c r="W44" s="49"/>
    </row>
    <row r="45" spans="2:23">
      <c r="B45" s="78" t="s">
        <v>1095</v>
      </c>
      <c r="C45" s="136" t="s">
        <v>1538</v>
      </c>
      <c r="D45" s="78" t="s">
        <v>47</v>
      </c>
      <c r="E45" s="79">
        <v>10</v>
      </c>
      <c r="F45" s="79"/>
      <c r="G45" s="78"/>
      <c r="H45" s="78"/>
      <c r="I45" s="79"/>
      <c r="J45" s="79"/>
      <c r="K45" s="79"/>
      <c r="L45" s="78" t="s">
        <v>80</v>
      </c>
      <c r="M45" s="78"/>
      <c r="N45" s="80"/>
      <c r="O45" s="81"/>
      <c r="P45" s="80"/>
      <c r="S45" s="49"/>
      <c r="T45" s="49"/>
      <c r="U45" s="49"/>
      <c r="V45" s="49"/>
      <c r="W45" s="49"/>
    </row>
    <row r="46" spans="2:23">
      <c r="B46" s="78" t="s">
        <v>1096</v>
      </c>
      <c r="C46" s="136" t="s">
        <v>1539</v>
      </c>
      <c r="D46" s="78" t="s">
        <v>47</v>
      </c>
      <c r="E46" s="79">
        <v>10</v>
      </c>
      <c r="F46" s="79"/>
      <c r="G46" s="78"/>
      <c r="H46" s="78"/>
      <c r="I46" s="79"/>
      <c r="J46" s="79"/>
      <c r="K46" s="79"/>
      <c r="L46" s="78" t="s">
        <v>80</v>
      </c>
      <c r="M46" s="78"/>
      <c r="N46" s="80"/>
      <c r="O46" s="81"/>
      <c r="P46" s="80"/>
      <c r="S46" s="49"/>
      <c r="T46" s="49"/>
      <c r="U46" s="49"/>
      <c r="V46" s="49"/>
      <c r="W46" s="49"/>
    </row>
    <row r="47" spans="2:23">
      <c r="B47" s="78" t="s">
        <v>1097</v>
      </c>
      <c r="C47" s="136" t="s">
        <v>1540</v>
      </c>
      <c r="D47" s="78" t="s">
        <v>47</v>
      </c>
      <c r="E47" s="79">
        <v>10</v>
      </c>
      <c r="F47" s="79"/>
      <c r="G47" s="78"/>
      <c r="H47" s="78"/>
      <c r="I47" s="79"/>
      <c r="J47" s="79"/>
      <c r="K47" s="79"/>
      <c r="L47" s="78" t="s">
        <v>80</v>
      </c>
      <c r="M47" s="78"/>
      <c r="N47" s="80"/>
      <c r="O47" s="81"/>
      <c r="P47" s="80"/>
      <c r="S47" s="49"/>
      <c r="T47" s="49"/>
      <c r="U47" s="49"/>
      <c r="V47" s="49"/>
      <c r="W47" s="49"/>
    </row>
    <row r="48" spans="2:23">
      <c r="B48" s="78" t="s">
        <v>1098</v>
      </c>
      <c r="C48" s="136" t="s">
        <v>1541</v>
      </c>
      <c r="D48" s="78" t="s">
        <v>47</v>
      </c>
      <c r="E48" s="79">
        <v>10</v>
      </c>
      <c r="F48" s="79"/>
      <c r="G48" s="78"/>
      <c r="H48" s="78"/>
      <c r="I48" s="79"/>
      <c r="J48" s="79"/>
      <c r="K48" s="79"/>
      <c r="L48" s="78" t="s">
        <v>80</v>
      </c>
      <c r="M48" s="78"/>
      <c r="N48" s="80"/>
      <c r="O48" s="81"/>
      <c r="P48" s="80"/>
      <c r="S48" s="49"/>
      <c r="T48" s="49"/>
      <c r="U48" s="49"/>
      <c r="V48" s="49"/>
      <c r="W48" s="49"/>
    </row>
    <row r="49" spans="2:23">
      <c r="B49" s="78" t="s">
        <v>1099</v>
      </c>
      <c r="C49" s="136" t="s">
        <v>1542</v>
      </c>
      <c r="D49" s="78" t="s">
        <v>47</v>
      </c>
      <c r="E49" s="79">
        <v>10</v>
      </c>
      <c r="F49" s="79"/>
      <c r="G49" s="78"/>
      <c r="H49" s="78"/>
      <c r="I49" s="79"/>
      <c r="J49" s="79"/>
      <c r="K49" s="79"/>
      <c r="L49" s="78" t="s">
        <v>80</v>
      </c>
      <c r="M49" s="78"/>
      <c r="N49" s="80"/>
      <c r="O49" s="81"/>
      <c r="P49" s="80"/>
      <c r="S49" s="49"/>
      <c r="T49" s="49"/>
      <c r="U49" s="49"/>
      <c r="V49" s="49"/>
      <c r="W49" s="49"/>
    </row>
    <row r="50" spans="2:23">
      <c r="B50" s="78" t="s">
        <v>1100</v>
      </c>
      <c r="C50" s="136" t="s">
        <v>1543</v>
      </c>
      <c r="D50" s="78" t="s">
        <v>47</v>
      </c>
      <c r="E50" s="79">
        <v>10</v>
      </c>
      <c r="F50" s="79"/>
      <c r="G50" s="78"/>
      <c r="H50" s="78"/>
      <c r="I50" s="79"/>
      <c r="J50" s="79"/>
      <c r="K50" s="79"/>
      <c r="L50" s="78" t="s">
        <v>80</v>
      </c>
      <c r="M50" s="78"/>
      <c r="N50" s="80"/>
      <c r="O50" s="81"/>
      <c r="P50" s="80"/>
      <c r="S50" s="49"/>
      <c r="T50" s="49"/>
      <c r="U50" s="49"/>
      <c r="V50" s="49"/>
      <c r="W50" s="49"/>
    </row>
    <row r="51" spans="2:23">
      <c r="B51" s="78" t="s">
        <v>1101</v>
      </c>
      <c r="C51" s="136" t="s">
        <v>1544</v>
      </c>
      <c r="D51" s="78" t="s">
        <v>47</v>
      </c>
      <c r="E51" s="79">
        <v>10</v>
      </c>
      <c r="F51" s="79"/>
      <c r="G51" s="78"/>
      <c r="H51" s="78"/>
      <c r="I51" s="79"/>
      <c r="J51" s="79"/>
      <c r="K51" s="79"/>
      <c r="L51" s="78" t="s">
        <v>80</v>
      </c>
      <c r="M51" s="78"/>
      <c r="N51" s="80"/>
      <c r="O51" s="81"/>
      <c r="P51" s="80"/>
      <c r="S51" s="49"/>
      <c r="T51" s="49"/>
      <c r="U51" s="49"/>
      <c r="V51" s="49"/>
      <c r="W51" s="49"/>
    </row>
    <row r="52" spans="2:23">
      <c r="B52" s="78" t="s">
        <v>12</v>
      </c>
      <c r="C52" s="136" t="s">
        <v>1545</v>
      </c>
      <c r="D52" s="78" t="s">
        <v>47</v>
      </c>
      <c r="E52" s="79">
        <v>10</v>
      </c>
      <c r="F52" s="79"/>
      <c r="G52" s="78"/>
      <c r="H52" s="78"/>
      <c r="I52" s="79"/>
      <c r="J52" s="79"/>
      <c r="K52" s="79"/>
      <c r="L52" s="78" t="s">
        <v>80</v>
      </c>
      <c r="M52" s="78"/>
      <c r="N52" s="80"/>
      <c r="O52" s="81"/>
      <c r="P52" s="80"/>
      <c r="S52" s="49"/>
      <c r="T52" s="49"/>
      <c r="U52" s="49"/>
      <c r="V52" s="49"/>
      <c r="W52" s="49"/>
    </row>
    <row r="53" spans="2:23" ht="25.2">
      <c r="B53" s="78" t="s">
        <v>1102</v>
      </c>
      <c r="C53" s="136" t="s">
        <v>1546</v>
      </c>
      <c r="D53" s="78" t="s">
        <v>47</v>
      </c>
      <c r="E53" s="79">
        <v>1</v>
      </c>
      <c r="F53" s="79"/>
      <c r="G53" s="78"/>
      <c r="H53" s="78"/>
      <c r="I53" s="79"/>
      <c r="J53" s="79"/>
      <c r="K53" s="79"/>
      <c r="L53" s="78" t="s">
        <v>1137</v>
      </c>
      <c r="M53" s="78"/>
      <c r="N53" s="80"/>
      <c r="O53" s="81" t="s">
        <v>1135</v>
      </c>
      <c r="P53" s="80"/>
      <c r="S53" s="49"/>
      <c r="T53" s="49"/>
      <c r="U53" s="49"/>
      <c r="V53" s="49"/>
      <c r="W53" s="49"/>
    </row>
    <row r="54" spans="2:23">
      <c r="B54" s="78" t="s">
        <v>1103</v>
      </c>
      <c r="C54" s="136" t="s">
        <v>1547</v>
      </c>
      <c r="D54" s="78" t="s">
        <v>47</v>
      </c>
      <c r="E54" s="79">
        <v>2</v>
      </c>
      <c r="F54" s="79"/>
      <c r="G54" s="78"/>
      <c r="H54" s="78"/>
      <c r="I54" s="79"/>
      <c r="J54" s="79"/>
      <c r="K54" s="79"/>
      <c r="L54" s="78" t="s">
        <v>77</v>
      </c>
      <c r="M54" s="78"/>
      <c r="N54" s="80"/>
      <c r="O54" s="81"/>
      <c r="P54" s="80"/>
      <c r="S54" s="49"/>
      <c r="T54" s="49"/>
      <c r="U54" s="49"/>
      <c r="V54" s="49"/>
      <c r="W54" s="49"/>
    </row>
    <row r="55" spans="2:23">
      <c r="B55" s="78" t="s">
        <v>1104</v>
      </c>
      <c r="C55" s="136" t="s">
        <v>1548</v>
      </c>
      <c r="D55" s="78" t="s">
        <v>47</v>
      </c>
      <c r="E55" s="79">
        <v>2</v>
      </c>
      <c r="F55" s="79"/>
      <c r="G55" s="78"/>
      <c r="H55" s="78"/>
      <c r="I55" s="79"/>
      <c r="J55" s="79"/>
      <c r="K55" s="79"/>
      <c r="L55" s="78" t="s">
        <v>77</v>
      </c>
      <c r="M55" s="78"/>
      <c r="N55" s="80"/>
      <c r="O55" s="81"/>
      <c r="P55" s="80"/>
      <c r="S55" s="49"/>
      <c r="T55" s="49"/>
      <c r="U55" s="49"/>
      <c r="V55" s="49"/>
      <c r="W55" s="49"/>
    </row>
    <row r="56" spans="2:23">
      <c r="B56" s="78" t="s">
        <v>1105</v>
      </c>
      <c r="C56" s="136" t="s">
        <v>1549</v>
      </c>
      <c r="D56" s="78" t="s">
        <v>47</v>
      </c>
      <c r="E56" s="79">
        <v>2</v>
      </c>
      <c r="F56" s="79"/>
      <c r="G56" s="78"/>
      <c r="H56" s="78"/>
      <c r="I56" s="79"/>
      <c r="J56" s="79"/>
      <c r="K56" s="79"/>
      <c r="L56" s="78" t="s">
        <v>77</v>
      </c>
      <c r="M56" s="78"/>
      <c r="N56" s="80"/>
      <c r="O56" s="81"/>
      <c r="P56" s="80"/>
      <c r="S56" s="49"/>
      <c r="T56" s="49"/>
      <c r="U56" s="49"/>
      <c r="V56" s="49"/>
      <c r="W56" s="49"/>
    </row>
    <row r="57" spans="2:23">
      <c r="B57" s="78" t="s">
        <v>1106</v>
      </c>
      <c r="C57" s="136" t="s">
        <v>1550</v>
      </c>
      <c r="D57" s="78" t="s">
        <v>47</v>
      </c>
      <c r="E57" s="79">
        <v>2</v>
      </c>
      <c r="F57" s="79"/>
      <c r="G57" s="78"/>
      <c r="H57" s="78"/>
      <c r="I57" s="79"/>
      <c r="J57" s="79"/>
      <c r="K57" s="79"/>
      <c r="L57" s="78" t="s">
        <v>77</v>
      </c>
      <c r="M57" s="78"/>
      <c r="N57" s="80"/>
      <c r="O57" s="81"/>
      <c r="P57" s="80"/>
      <c r="S57" s="49"/>
      <c r="T57" s="49"/>
      <c r="U57" s="49"/>
      <c r="V57" s="49"/>
      <c r="W57" s="49"/>
    </row>
    <row r="58" spans="2:23">
      <c r="B58" s="78" t="s">
        <v>1107</v>
      </c>
      <c r="C58" s="136" t="s">
        <v>1551</v>
      </c>
      <c r="D58" s="78" t="s">
        <v>47</v>
      </c>
      <c r="E58" s="79">
        <v>2</v>
      </c>
      <c r="F58" s="79"/>
      <c r="G58" s="78"/>
      <c r="H58" s="78"/>
      <c r="I58" s="79"/>
      <c r="J58" s="79"/>
      <c r="K58" s="79"/>
      <c r="L58" s="78" t="s">
        <v>77</v>
      </c>
      <c r="M58" s="78"/>
      <c r="N58" s="80"/>
      <c r="O58" s="81"/>
      <c r="P58" s="80"/>
      <c r="S58" s="49"/>
      <c r="T58" s="49"/>
      <c r="U58" s="49"/>
      <c r="V58" s="49"/>
      <c r="W58" s="49"/>
    </row>
    <row r="59" spans="2:23">
      <c r="B59" s="78" t="s">
        <v>1108</v>
      </c>
      <c r="C59" s="136" t="s">
        <v>1552</v>
      </c>
      <c r="D59" s="78" t="s">
        <v>47</v>
      </c>
      <c r="E59" s="79">
        <v>2</v>
      </c>
      <c r="F59" s="79"/>
      <c r="G59" s="78"/>
      <c r="H59" s="78"/>
      <c r="I59" s="79"/>
      <c r="J59" s="79"/>
      <c r="K59" s="79"/>
      <c r="L59" s="78" t="s">
        <v>77</v>
      </c>
      <c r="M59" s="78"/>
      <c r="N59" s="80"/>
      <c r="O59" s="81"/>
      <c r="P59" s="80"/>
      <c r="S59" s="49"/>
      <c r="T59" s="49"/>
      <c r="U59" s="49"/>
      <c r="V59" s="49"/>
      <c r="W59" s="49"/>
    </row>
    <row r="60" spans="2:23">
      <c r="B60" s="78" t="s">
        <v>1109</v>
      </c>
      <c r="C60" s="136" t="s">
        <v>1553</v>
      </c>
      <c r="D60" s="78" t="s">
        <v>47</v>
      </c>
      <c r="E60" s="79">
        <v>2</v>
      </c>
      <c r="F60" s="79"/>
      <c r="G60" s="78"/>
      <c r="H60" s="78"/>
      <c r="I60" s="79"/>
      <c r="J60" s="79"/>
      <c r="K60" s="79"/>
      <c r="L60" s="78" t="s">
        <v>77</v>
      </c>
      <c r="M60" s="78"/>
      <c r="N60" s="80"/>
      <c r="O60" s="81"/>
      <c r="P60" s="80"/>
      <c r="S60" s="49"/>
      <c r="T60" s="49"/>
      <c r="U60" s="49"/>
      <c r="V60" s="49"/>
      <c r="W60" s="49"/>
    </row>
    <row r="61" spans="2:23">
      <c r="B61" s="78" t="s">
        <v>1110</v>
      </c>
      <c r="C61" s="136" t="s">
        <v>1554</v>
      </c>
      <c r="D61" s="78" t="s">
        <v>47</v>
      </c>
      <c r="E61" s="79">
        <v>2</v>
      </c>
      <c r="F61" s="79"/>
      <c r="G61" s="78"/>
      <c r="H61" s="78"/>
      <c r="I61" s="79"/>
      <c r="J61" s="79"/>
      <c r="K61" s="79"/>
      <c r="L61" s="78" t="s">
        <v>77</v>
      </c>
      <c r="M61" s="78"/>
      <c r="N61" s="80"/>
      <c r="O61" s="81"/>
      <c r="P61" s="80"/>
      <c r="S61" s="49"/>
      <c r="T61" s="49"/>
      <c r="U61" s="49"/>
      <c r="V61" s="49"/>
      <c r="W61" s="49"/>
    </row>
    <row r="62" spans="2:23">
      <c r="B62" s="78" t="s">
        <v>1111</v>
      </c>
      <c r="C62" s="136" t="s">
        <v>1555</v>
      </c>
      <c r="D62" s="78" t="s">
        <v>47</v>
      </c>
      <c r="E62" s="79">
        <v>2</v>
      </c>
      <c r="F62" s="79"/>
      <c r="G62" s="78"/>
      <c r="H62" s="78"/>
      <c r="I62" s="79"/>
      <c r="J62" s="79"/>
      <c r="K62" s="79"/>
      <c r="L62" s="78" t="s">
        <v>77</v>
      </c>
      <c r="M62" s="78"/>
      <c r="N62" s="80"/>
      <c r="O62" s="81"/>
      <c r="P62" s="80"/>
      <c r="S62" s="49"/>
      <c r="T62" s="49"/>
      <c r="U62" s="49"/>
      <c r="V62" s="49"/>
      <c r="W62" s="49"/>
    </row>
    <row r="63" spans="2:23">
      <c r="B63" s="78" t="s">
        <v>1112</v>
      </c>
      <c r="C63" s="136" t="s">
        <v>1556</v>
      </c>
      <c r="D63" s="78" t="s">
        <v>47</v>
      </c>
      <c r="E63" s="79">
        <v>2</v>
      </c>
      <c r="F63" s="79"/>
      <c r="G63" s="78"/>
      <c r="H63" s="78"/>
      <c r="I63" s="79"/>
      <c r="J63" s="79"/>
      <c r="K63" s="79"/>
      <c r="L63" s="78" t="s">
        <v>77</v>
      </c>
      <c r="M63" s="78"/>
      <c r="N63" s="80"/>
      <c r="O63" s="81"/>
      <c r="P63" s="80"/>
      <c r="S63" s="49"/>
      <c r="T63" s="49"/>
      <c r="U63" s="49"/>
      <c r="V63" s="49"/>
      <c r="W63" s="49"/>
    </row>
    <row r="64" spans="2:23">
      <c r="B64" s="78" t="s">
        <v>1113</v>
      </c>
      <c r="C64" s="136" t="s">
        <v>1557</v>
      </c>
      <c r="D64" s="78" t="s">
        <v>47</v>
      </c>
      <c r="E64" s="79">
        <v>15</v>
      </c>
      <c r="F64" s="79"/>
      <c r="G64" s="78"/>
      <c r="H64" s="78"/>
      <c r="I64" s="79"/>
      <c r="J64" s="79"/>
      <c r="K64" s="79"/>
      <c r="L64" s="78" t="s">
        <v>1143</v>
      </c>
      <c r="M64" s="78"/>
      <c r="N64" s="80"/>
      <c r="O64" s="81"/>
      <c r="P64" s="80"/>
      <c r="S64" s="49"/>
      <c r="T64" s="49"/>
      <c r="U64" s="49"/>
      <c r="V64" s="49"/>
      <c r="W64" s="49"/>
    </row>
    <row r="65" spans="2:23">
      <c r="B65" s="78" t="s">
        <v>1114</v>
      </c>
      <c r="C65" s="136" t="s">
        <v>1558</v>
      </c>
      <c r="D65" s="78" t="s">
        <v>47</v>
      </c>
      <c r="E65" s="79">
        <v>15</v>
      </c>
      <c r="F65" s="79"/>
      <c r="G65" s="78"/>
      <c r="H65" s="78"/>
      <c r="I65" s="79"/>
      <c r="J65" s="79"/>
      <c r="K65" s="79"/>
      <c r="L65" s="78" t="s">
        <v>1143</v>
      </c>
      <c r="M65" s="78"/>
      <c r="N65" s="80"/>
      <c r="O65" s="81"/>
      <c r="P65" s="80"/>
      <c r="S65" s="49"/>
      <c r="T65" s="49"/>
      <c r="U65" s="49"/>
      <c r="V65" s="49"/>
      <c r="W65" s="49"/>
    </row>
    <row r="66" spans="2:23">
      <c r="B66" s="78" t="s">
        <v>1115</v>
      </c>
      <c r="C66" s="136" t="s">
        <v>1559</v>
      </c>
      <c r="D66" s="78" t="s">
        <v>47</v>
      </c>
      <c r="E66" s="79">
        <v>15</v>
      </c>
      <c r="F66" s="79"/>
      <c r="G66" s="78"/>
      <c r="H66" s="78"/>
      <c r="I66" s="79"/>
      <c r="J66" s="79"/>
      <c r="K66" s="79"/>
      <c r="L66" s="78" t="s">
        <v>1143</v>
      </c>
      <c r="M66" s="78"/>
      <c r="N66" s="80"/>
      <c r="O66" s="81"/>
      <c r="P66" s="80"/>
      <c r="S66" s="49"/>
      <c r="T66" s="49"/>
      <c r="U66" s="49"/>
      <c r="V66" s="49"/>
      <c r="W66" s="49"/>
    </row>
    <row r="67" spans="2:23">
      <c r="B67" s="78" t="s">
        <v>1116</v>
      </c>
      <c r="C67" s="136" t="s">
        <v>1560</v>
      </c>
      <c r="D67" s="78" t="s">
        <v>47</v>
      </c>
      <c r="E67" s="79">
        <v>15</v>
      </c>
      <c r="F67" s="79"/>
      <c r="G67" s="78"/>
      <c r="H67" s="78"/>
      <c r="I67" s="79"/>
      <c r="J67" s="79"/>
      <c r="K67" s="79"/>
      <c r="L67" s="78" t="s">
        <v>1143</v>
      </c>
      <c r="M67" s="78"/>
      <c r="N67" s="80"/>
      <c r="O67" s="81"/>
      <c r="P67" s="80"/>
      <c r="S67" s="49"/>
      <c r="T67" s="49"/>
      <c r="U67" s="49"/>
      <c r="V67" s="49"/>
      <c r="W67" s="49"/>
    </row>
    <row r="68" spans="2:23">
      <c r="B68" s="78" t="s">
        <v>1117</v>
      </c>
      <c r="C68" s="136" t="s">
        <v>1561</v>
      </c>
      <c r="D68" s="78" t="s">
        <v>47</v>
      </c>
      <c r="E68" s="79">
        <v>15</v>
      </c>
      <c r="F68" s="79"/>
      <c r="G68" s="78"/>
      <c r="H68" s="78"/>
      <c r="I68" s="79"/>
      <c r="J68" s="79"/>
      <c r="K68" s="79"/>
      <c r="L68" s="78" t="s">
        <v>1143</v>
      </c>
      <c r="M68" s="78"/>
      <c r="N68" s="80"/>
      <c r="O68" s="81"/>
      <c r="P68" s="80"/>
      <c r="S68" s="49"/>
      <c r="T68" s="49"/>
      <c r="U68" s="49"/>
      <c r="V68" s="49"/>
      <c r="W68" s="49"/>
    </row>
    <row r="69" spans="2:23">
      <c r="B69" s="78" t="s">
        <v>1118</v>
      </c>
      <c r="C69" s="136" t="s">
        <v>1562</v>
      </c>
      <c r="D69" s="78" t="s">
        <v>47</v>
      </c>
      <c r="E69" s="79">
        <v>100</v>
      </c>
      <c r="F69" s="79"/>
      <c r="G69" s="78"/>
      <c r="H69" s="78"/>
      <c r="I69" s="79"/>
      <c r="J69" s="79"/>
      <c r="K69" s="79"/>
      <c r="L69" s="78" t="s">
        <v>76</v>
      </c>
      <c r="M69" s="78"/>
      <c r="N69" s="80"/>
      <c r="O69" s="81"/>
      <c r="P69" s="80"/>
      <c r="S69" s="49"/>
      <c r="T69" s="49"/>
      <c r="U69" s="49"/>
      <c r="V69" s="49"/>
      <c r="W69" s="49"/>
    </row>
    <row r="70" spans="2:23">
      <c r="B70" s="78" t="s">
        <v>1119</v>
      </c>
      <c r="C70" s="136" t="s">
        <v>1563</v>
      </c>
      <c r="D70" s="78" t="s">
        <v>47</v>
      </c>
      <c r="E70" s="79">
        <v>100</v>
      </c>
      <c r="F70" s="79"/>
      <c r="G70" s="78"/>
      <c r="H70" s="78"/>
      <c r="I70" s="79"/>
      <c r="J70" s="79"/>
      <c r="K70" s="79"/>
      <c r="L70" s="78" t="s">
        <v>76</v>
      </c>
      <c r="M70" s="78"/>
      <c r="N70" s="80"/>
      <c r="O70" s="81"/>
      <c r="P70" s="80"/>
      <c r="S70" s="49"/>
      <c r="T70" s="49"/>
      <c r="U70" s="49"/>
      <c r="V70" s="49"/>
      <c r="W70" s="49"/>
    </row>
    <row r="71" spans="2:23">
      <c r="B71" s="78" t="s">
        <v>1120</v>
      </c>
      <c r="C71" s="136" t="s">
        <v>1564</v>
      </c>
      <c r="D71" s="78" t="s">
        <v>47</v>
      </c>
      <c r="E71" s="79">
        <v>100</v>
      </c>
      <c r="F71" s="79"/>
      <c r="G71" s="78"/>
      <c r="H71" s="78"/>
      <c r="I71" s="79"/>
      <c r="J71" s="79"/>
      <c r="K71" s="79"/>
      <c r="L71" s="78" t="s">
        <v>76</v>
      </c>
      <c r="M71" s="78"/>
      <c r="N71" s="80"/>
      <c r="O71" s="81"/>
      <c r="P71" s="80"/>
      <c r="S71" s="49"/>
      <c r="T71" s="49"/>
      <c r="U71" s="49"/>
      <c r="V71" s="49"/>
      <c r="W71" s="49"/>
    </row>
    <row r="72" spans="2:23">
      <c r="B72" s="78" t="s">
        <v>1121</v>
      </c>
      <c r="C72" s="136" t="s">
        <v>1565</v>
      </c>
      <c r="D72" s="78" t="s">
        <v>47</v>
      </c>
      <c r="E72" s="79">
        <v>100</v>
      </c>
      <c r="F72" s="79"/>
      <c r="G72" s="78"/>
      <c r="H72" s="78"/>
      <c r="I72" s="79"/>
      <c r="J72" s="79"/>
      <c r="K72" s="79"/>
      <c r="L72" s="78" t="s">
        <v>76</v>
      </c>
      <c r="M72" s="78"/>
      <c r="N72" s="80"/>
      <c r="O72" s="81"/>
      <c r="P72" s="80"/>
      <c r="S72" s="49"/>
      <c r="T72" s="49"/>
      <c r="U72" s="49"/>
      <c r="V72" s="49"/>
      <c r="W72" s="49"/>
    </row>
    <row r="73" spans="2:23">
      <c r="B73" s="78" t="s">
        <v>1122</v>
      </c>
      <c r="C73" s="136" t="s">
        <v>1566</v>
      </c>
      <c r="D73" s="78" t="s">
        <v>47</v>
      </c>
      <c r="E73" s="79">
        <v>100</v>
      </c>
      <c r="F73" s="79"/>
      <c r="G73" s="78"/>
      <c r="H73" s="78"/>
      <c r="I73" s="79"/>
      <c r="J73" s="79"/>
      <c r="K73" s="79"/>
      <c r="L73" s="78" t="s">
        <v>76</v>
      </c>
      <c r="M73" s="78"/>
      <c r="N73" s="80"/>
      <c r="O73" s="81"/>
      <c r="P73" s="80"/>
      <c r="S73" s="49"/>
      <c r="T73" s="49"/>
      <c r="U73" s="49"/>
      <c r="V73" s="49"/>
      <c r="W73" s="49"/>
    </row>
    <row r="74" spans="2:23">
      <c r="B74" s="78" t="s">
        <v>1123</v>
      </c>
      <c r="C74" s="136" t="s">
        <v>1567</v>
      </c>
      <c r="D74" s="78" t="s">
        <v>47</v>
      </c>
      <c r="E74" s="79">
        <v>9</v>
      </c>
      <c r="F74" s="79"/>
      <c r="G74" s="78"/>
      <c r="H74" s="78"/>
      <c r="I74" s="79"/>
      <c r="J74" s="79"/>
      <c r="K74" s="79"/>
      <c r="L74" s="78" t="s">
        <v>1144</v>
      </c>
      <c r="M74" s="78"/>
      <c r="N74" s="80"/>
      <c r="O74" s="81"/>
      <c r="P74" s="80"/>
      <c r="S74" s="49"/>
      <c r="T74" s="49"/>
      <c r="U74" s="49"/>
      <c r="V74" s="49"/>
      <c r="W74" s="49"/>
    </row>
    <row r="75" spans="2:23">
      <c r="B75" s="78" t="s">
        <v>1124</v>
      </c>
      <c r="C75" s="136" t="s">
        <v>1568</v>
      </c>
      <c r="D75" s="78" t="s">
        <v>47</v>
      </c>
      <c r="E75" s="79">
        <v>9</v>
      </c>
      <c r="F75" s="79"/>
      <c r="G75" s="78"/>
      <c r="H75" s="78"/>
      <c r="I75" s="79"/>
      <c r="J75" s="79"/>
      <c r="K75" s="79"/>
      <c r="L75" s="78" t="s">
        <v>1144</v>
      </c>
      <c r="M75" s="78"/>
      <c r="N75" s="80"/>
      <c r="O75" s="81"/>
      <c r="P75" s="80"/>
      <c r="S75" s="49"/>
      <c r="T75" s="49"/>
      <c r="U75" s="49"/>
      <c r="V75" s="49"/>
      <c r="W75" s="49"/>
    </row>
    <row r="76" spans="2:23">
      <c r="B76" s="78" t="s">
        <v>1125</v>
      </c>
      <c r="C76" s="136" t="s">
        <v>1569</v>
      </c>
      <c r="D76" s="78" t="s">
        <v>47</v>
      </c>
      <c r="E76" s="79">
        <v>9</v>
      </c>
      <c r="F76" s="79"/>
      <c r="G76" s="78"/>
      <c r="H76" s="78"/>
      <c r="I76" s="79"/>
      <c r="J76" s="79"/>
      <c r="K76" s="79"/>
      <c r="L76" s="78" t="s">
        <v>1144</v>
      </c>
      <c r="M76" s="78"/>
      <c r="N76" s="80"/>
      <c r="O76" s="81"/>
      <c r="P76" s="80"/>
      <c r="S76" s="49"/>
      <c r="T76" s="49"/>
      <c r="U76" s="49"/>
      <c r="V76" s="49"/>
      <c r="W76" s="49"/>
    </row>
    <row r="77" spans="2:23">
      <c r="B77" s="78" t="s">
        <v>1126</v>
      </c>
      <c r="C77" s="136" t="s">
        <v>1570</v>
      </c>
      <c r="D77" s="78" t="s">
        <v>47</v>
      </c>
      <c r="E77" s="79">
        <v>9</v>
      </c>
      <c r="F77" s="79"/>
      <c r="G77" s="78"/>
      <c r="H77" s="78"/>
      <c r="I77" s="79"/>
      <c r="J77" s="79"/>
      <c r="K77" s="79"/>
      <c r="L77" s="78" t="s">
        <v>1144</v>
      </c>
      <c r="M77" s="78"/>
      <c r="N77" s="80"/>
      <c r="O77" s="81"/>
      <c r="P77" s="80"/>
      <c r="S77" s="49"/>
      <c r="T77" s="49"/>
      <c r="U77" s="49"/>
      <c r="V77" s="49"/>
      <c r="W77" s="49"/>
    </row>
    <row r="78" spans="2:23">
      <c r="B78" s="78" t="s">
        <v>1127</v>
      </c>
      <c r="C78" s="136" t="s">
        <v>1571</v>
      </c>
      <c r="D78" s="78" t="s">
        <v>47</v>
      </c>
      <c r="E78" s="79">
        <v>9</v>
      </c>
      <c r="F78" s="79"/>
      <c r="G78" s="78"/>
      <c r="H78" s="78"/>
      <c r="I78" s="79"/>
      <c r="J78" s="79"/>
      <c r="K78" s="79"/>
      <c r="L78" s="78" t="s">
        <v>1144</v>
      </c>
      <c r="M78" s="78"/>
      <c r="N78" s="80"/>
      <c r="O78" s="81"/>
      <c r="P78" s="80"/>
      <c r="S78" s="49"/>
      <c r="T78" s="49"/>
      <c r="U78" s="49"/>
      <c r="V78" s="49"/>
      <c r="W78" s="49"/>
    </row>
    <row r="79" spans="2:23">
      <c r="B79" s="78" t="s">
        <v>1128</v>
      </c>
      <c r="C79" s="136" t="s">
        <v>1572</v>
      </c>
      <c r="D79" s="78" t="s">
        <v>47</v>
      </c>
      <c r="E79" s="79">
        <v>9</v>
      </c>
      <c r="F79" s="79"/>
      <c r="G79" s="78"/>
      <c r="H79" s="78"/>
      <c r="I79" s="79"/>
      <c r="J79" s="79"/>
      <c r="K79" s="79"/>
      <c r="L79" s="78" t="s">
        <v>1144</v>
      </c>
      <c r="M79" s="78"/>
      <c r="N79" s="80"/>
      <c r="O79" s="81"/>
      <c r="P79" s="80"/>
      <c r="S79" s="49"/>
      <c r="T79" s="49"/>
      <c r="U79" s="49"/>
      <c r="V79" s="49"/>
      <c r="W79" s="49"/>
    </row>
    <row r="80" spans="2:23">
      <c r="B80" s="78" t="s">
        <v>1129</v>
      </c>
      <c r="C80" s="136" t="s">
        <v>1573</v>
      </c>
      <c r="D80" s="78" t="s">
        <v>47</v>
      </c>
      <c r="E80" s="79">
        <v>9</v>
      </c>
      <c r="F80" s="79"/>
      <c r="G80" s="78"/>
      <c r="H80" s="78"/>
      <c r="I80" s="79"/>
      <c r="J80" s="79"/>
      <c r="K80" s="79"/>
      <c r="L80" s="78" t="s">
        <v>1144</v>
      </c>
      <c r="M80" s="78"/>
      <c r="N80" s="80"/>
      <c r="O80" s="81"/>
      <c r="P80" s="80"/>
      <c r="S80" s="49"/>
      <c r="T80" s="49"/>
      <c r="U80" s="49"/>
      <c r="V80" s="49"/>
      <c r="W80" s="49"/>
    </row>
    <row r="81" spans="2:23">
      <c r="B81" s="78" t="s">
        <v>1130</v>
      </c>
      <c r="C81" s="136" t="s">
        <v>1574</v>
      </c>
      <c r="D81" s="78" t="s">
        <v>47</v>
      </c>
      <c r="E81" s="79">
        <v>9</v>
      </c>
      <c r="F81" s="79"/>
      <c r="G81" s="78"/>
      <c r="H81" s="78"/>
      <c r="I81" s="79"/>
      <c r="J81" s="79"/>
      <c r="K81" s="79"/>
      <c r="L81" s="78" t="s">
        <v>1144</v>
      </c>
      <c r="M81" s="78"/>
      <c r="N81" s="80"/>
      <c r="O81" s="81"/>
      <c r="P81" s="80"/>
      <c r="S81" s="49"/>
      <c r="T81" s="49"/>
      <c r="U81" s="49"/>
      <c r="V81" s="49"/>
      <c r="W81" s="49"/>
    </row>
    <row r="82" spans="2:23">
      <c r="B82" s="78" t="s">
        <v>1131</v>
      </c>
      <c r="C82" s="136" t="s">
        <v>1575</v>
      </c>
      <c r="D82" s="78" t="s">
        <v>47</v>
      </c>
      <c r="E82" s="79">
        <v>9</v>
      </c>
      <c r="F82" s="79"/>
      <c r="G82" s="78"/>
      <c r="H82" s="78"/>
      <c r="I82" s="79"/>
      <c r="J82" s="79"/>
      <c r="K82" s="79"/>
      <c r="L82" s="78" t="s">
        <v>1144</v>
      </c>
      <c r="M82" s="78"/>
      <c r="N82" s="80"/>
      <c r="O82" s="81"/>
      <c r="P82" s="80"/>
      <c r="S82" s="49"/>
      <c r="T82" s="49"/>
      <c r="U82" s="49"/>
      <c r="V82" s="49"/>
      <c r="W82" s="49"/>
    </row>
    <row r="83" spans="2:23">
      <c r="B83" s="78" t="s">
        <v>1132</v>
      </c>
      <c r="C83" s="136" t="s">
        <v>1576</v>
      </c>
      <c r="D83" s="78" t="s">
        <v>47</v>
      </c>
      <c r="E83" s="79">
        <v>9</v>
      </c>
      <c r="F83" s="79"/>
      <c r="G83" s="78"/>
      <c r="H83" s="78"/>
      <c r="I83" s="79"/>
      <c r="J83" s="79"/>
      <c r="K83" s="79"/>
      <c r="L83" s="78" t="s">
        <v>1144</v>
      </c>
      <c r="M83" s="78"/>
      <c r="N83" s="80"/>
      <c r="O83" s="81"/>
      <c r="P83" s="80"/>
      <c r="S83" s="49"/>
      <c r="T83" s="49"/>
      <c r="U83" s="49"/>
      <c r="V83" s="49"/>
      <c r="W83" s="49"/>
    </row>
    <row r="84" spans="2:23">
      <c r="B84" s="46" t="s">
        <v>43</v>
      </c>
      <c r="C84" s="46" t="s">
        <v>16</v>
      </c>
      <c r="D84" s="46" t="s">
        <v>17</v>
      </c>
      <c r="E84" s="47">
        <v>8</v>
      </c>
      <c r="F84" s="47" t="s">
        <v>86</v>
      </c>
      <c r="G84" s="54" t="s">
        <v>135</v>
      </c>
      <c r="H84" s="46"/>
      <c r="I84" s="47"/>
      <c r="J84" s="47"/>
      <c r="K84" s="47"/>
      <c r="L84" s="46" t="s">
        <v>82</v>
      </c>
      <c r="M84" s="46" t="s">
        <v>14</v>
      </c>
      <c r="N84" s="49"/>
      <c r="O84" s="49"/>
      <c r="P84" s="49"/>
      <c r="S84" s="49"/>
      <c r="T84" s="49"/>
      <c r="U84" s="49"/>
      <c r="V84" s="49"/>
      <c r="W84" s="49"/>
    </row>
    <row r="85" spans="2:23">
      <c r="B85" s="46" t="s">
        <v>44</v>
      </c>
      <c r="C85" s="46" t="s">
        <v>18</v>
      </c>
      <c r="D85" s="46" t="s">
        <v>17</v>
      </c>
      <c r="E85" s="47">
        <v>8</v>
      </c>
      <c r="F85" s="47" t="s">
        <v>86</v>
      </c>
      <c r="G85" s="54" t="s">
        <v>135</v>
      </c>
      <c r="H85" s="46"/>
      <c r="I85" s="47"/>
      <c r="J85" s="47"/>
      <c r="K85" s="47"/>
      <c r="L85" s="46" t="s">
        <v>82</v>
      </c>
      <c r="M85" s="46" t="s">
        <v>14</v>
      </c>
      <c r="N85" s="49"/>
      <c r="O85" s="49"/>
      <c r="P85" s="49"/>
      <c r="S85" s="49"/>
      <c r="T85" s="49"/>
      <c r="U85" s="49"/>
      <c r="V85" s="49"/>
      <c r="W85" s="49"/>
    </row>
    <row r="86" spans="2:23">
      <c r="B86" s="46" t="s">
        <v>19</v>
      </c>
      <c r="C86" s="46" t="s">
        <v>20</v>
      </c>
      <c r="D86" s="46" t="s">
        <v>13</v>
      </c>
      <c r="E86" s="47">
        <v>40</v>
      </c>
      <c r="F86" s="47" t="s">
        <v>86</v>
      </c>
      <c r="G86" s="46"/>
      <c r="H86" s="46"/>
      <c r="I86" s="47"/>
      <c r="J86" s="47"/>
      <c r="K86" s="47"/>
      <c r="L86" s="46" t="s">
        <v>78</v>
      </c>
      <c r="M86" s="46" t="s">
        <v>14</v>
      </c>
      <c r="N86" s="49"/>
      <c r="O86" s="49"/>
      <c r="P86" s="49"/>
      <c r="S86" s="49"/>
      <c r="T86" s="49"/>
      <c r="U86" s="49"/>
      <c r="V86" s="49"/>
      <c r="W86" s="49"/>
    </row>
    <row r="87" spans="2:23">
      <c r="B87" s="46" t="s">
        <v>21</v>
      </c>
      <c r="C87" s="46" t="s">
        <v>22</v>
      </c>
      <c r="D87" s="46" t="s">
        <v>13</v>
      </c>
      <c r="E87" s="47">
        <v>40</v>
      </c>
      <c r="F87" s="47" t="s">
        <v>86</v>
      </c>
      <c r="G87" s="46"/>
      <c r="H87" s="46"/>
      <c r="I87" s="47"/>
      <c r="J87" s="47"/>
      <c r="K87" s="47"/>
      <c r="L87" s="46" t="s">
        <v>78</v>
      </c>
      <c r="M87" s="46" t="s">
        <v>14</v>
      </c>
      <c r="N87" s="49"/>
      <c r="O87" s="49"/>
      <c r="P87" s="49"/>
      <c r="S87" s="49"/>
      <c r="T87" s="49"/>
      <c r="U87" s="49"/>
      <c r="V87" s="49"/>
      <c r="W87" s="49"/>
    </row>
    <row r="88" spans="2:23" ht="25.2">
      <c r="B88" s="46" t="s">
        <v>45</v>
      </c>
      <c r="C88" s="46" t="s">
        <v>46</v>
      </c>
      <c r="D88" s="46" t="s">
        <v>13</v>
      </c>
      <c r="E88" s="47">
        <v>10</v>
      </c>
      <c r="F88" s="47" t="s">
        <v>86</v>
      </c>
      <c r="G88" s="46"/>
      <c r="H88" s="46"/>
      <c r="I88" s="47"/>
      <c r="J88" s="47"/>
      <c r="K88" s="47"/>
      <c r="L88" s="46" t="s">
        <v>83</v>
      </c>
      <c r="M88" s="46" t="s">
        <v>14</v>
      </c>
      <c r="N88" s="49" t="s">
        <v>62</v>
      </c>
      <c r="O88" s="48" t="s">
        <v>63</v>
      </c>
      <c r="P88" s="49"/>
      <c r="S88" s="49"/>
      <c r="T88" s="49"/>
      <c r="U88" s="49"/>
      <c r="V88" s="49"/>
      <c r="W88" s="49"/>
    </row>
  </sheetData>
  <mergeCells count="4">
    <mergeCell ref="D5:F5"/>
    <mergeCell ref="H5:P5"/>
    <mergeCell ref="D6:F6"/>
    <mergeCell ref="H6:P6"/>
  </mergeCells>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39F0B-CBB6-44CA-96BE-3E7397790990}">
  <sheetPr codeName="Sheet8">
    <tabColor theme="0" tint="-0.499984740745262"/>
  </sheetPr>
  <dimension ref="A2:Z25"/>
  <sheetViews>
    <sheetView showGridLines="0" workbookViewId="0"/>
  </sheetViews>
  <sheetFormatPr defaultRowHeight="15"/>
  <cols>
    <col min="1" max="1" width="2.54296875" customWidth="1"/>
    <col min="2" max="3" width="22.81640625" customWidth="1"/>
    <col min="4" max="4" width="7.1796875" bestFit="1" customWidth="1"/>
    <col min="5" max="5" width="5.1796875" customWidth="1"/>
    <col min="6" max="6" width="4.453125" customWidth="1"/>
    <col min="7" max="7" width="15.36328125" customWidth="1"/>
    <col min="8" max="8" width="4.453125" customWidth="1"/>
    <col min="9" max="9" width="3.08984375" bestFit="1" customWidth="1"/>
    <col min="10" max="10" width="3.1796875" bestFit="1" customWidth="1"/>
    <col min="11" max="11" width="3" bestFit="1" customWidth="1"/>
    <col min="12" max="12" width="12" bestFit="1" customWidth="1"/>
    <col min="13" max="13" width="4.453125" customWidth="1"/>
    <col min="14" max="14" width="30.453125" customWidth="1"/>
    <col min="15" max="15" width="27.36328125" customWidth="1"/>
    <col min="16" max="16" width="33.36328125" customWidth="1"/>
    <col min="17" max="17" width="2.36328125" customWidth="1"/>
    <col min="19" max="23" width="20.6328125" customWidth="1"/>
  </cols>
  <sheetData>
    <row r="2" spans="1:26">
      <c r="A2" s="6"/>
      <c r="B2" s="7" t="s">
        <v>38</v>
      </c>
      <c r="C2" s="6"/>
      <c r="D2" s="6"/>
      <c r="E2" s="6"/>
      <c r="F2" s="6"/>
      <c r="G2" s="6"/>
      <c r="H2" s="6"/>
      <c r="I2" s="6"/>
      <c r="J2" s="6"/>
      <c r="K2" s="6"/>
      <c r="L2" s="6"/>
      <c r="M2" s="6"/>
      <c r="N2" s="6"/>
      <c r="O2" s="6"/>
      <c r="P2" s="6"/>
      <c r="Q2" s="6"/>
      <c r="R2" s="6"/>
      <c r="S2" s="6"/>
      <c r="T2" s="6"/>
      <c r="U2" s="6"/>
      <c r="V2" s="6"/>
      <c r="W2" s="6"/>
      <c r="X2" s="6"/>
      <c r="Y2" s="6"/>
      <c r="Z2" s="6"/>
    </row>
    <row r="3" spans="1:26" ht="7.5" customHeight="1">
      <c r="A3" s="1"/>
      <c r="B3" s="1"/>
      <c r="C3" s="1"/>
      <c r="D3" s="1"/>
      <c r="E3" s="1"/>
      <c r="F3" s="1"/>
      <c r="G3" s="1"/>
      <c r="H3" s="1"/>
      <c r="I3" s="1"/>
      <c r="J3" s="1"/>
      <c r="K3" s="1"/>
      <c r="L3" s="1"/>
      <c r="M3" s="1"/>
      <c r="N3" s="1"/>
      <c r="O3" s="1"/>
      <c r="P3" s="1"/>
      <c r="Q3" s="1"/>
      <c r="R3" s="1"/>
      <c r="S3" s="1"/>
      <c r="T3" s="1"/>
      <c r="U3" s="1"/>
      <c r="V3" s="1"/>
      <c r="W3" s="1"/>
      <c r="X3" s="1"/>
      <c r="Y3" s="1"/>
      <c r="Z3" s="1"/>
    </row>
    <row r="5" spans="1:26">
      <c r="B5" s="8" t="s">
        <v>30</v>
      </c>
      <c r="C5" s="8" t="s">
        <v>31</v>
      </c>
      <c r="D5" s="234" t="s">
        <v>37</v>
      </c>
      <c r="E5" s="235"/>
      <c r="F5" s="236"/>
      <c r="G5" s="8" t="s">
        <v>74</v>
      </c>
      <c r="H5" s="234" t="s">
        <v>85</v>
      </c>
      <c r="I5" s="235"/>
      <c r="J5" s="235"/>
      <c r="K5" s="235"/>
      <c r="L5" s="235"/>
      <c r="M5" s="235"/>
      <c r="N5" s="235"/>
      <c r="O5" s="235"/>
      <c r="P5" s="236"/>
    </row>
    <row r="6" spans="1:26">
      <c r="B6" s="2" t="s">
        <v>70</v>
      </c>
      <c r="C6" s="2" t="s">
        <v>1361</v>
      </c>
      <c r="D6" s="237" t="s">
        <v>93</v>
      </c>
      <c r="E6" s="238"/>
      <c r="F6" s="239"/>
      <c r="G6" s="45" t="s">
        <v>75</v>
      </c>
      <c r="H6" s="282" t="s">
        <v>1356</v>
      </c>
      <c r="I6" s="283"/>
      <c r="J6" s="283"/>
      <c r="K6" s="283"/>
      <c r="L6" s="283"/>
      <c r="M6" s="283"/>
      <c r="N6" s="283"/>
      <c r="O6" s="283"/>
      <c r="P6" s="284"/>
      <c r="S6" t="s">
        <v>108</v>
      </c>
    </row>
    <row r="8" spans="1:26">
      <c r="B8" s="8" t="s">
        <v>32</v>
      </c>
      <c r="C8" s="8" t="s">
        <v>33</v>
      </c>
      <c r="D8" s="8" t="s">
        <v>34</v>
      </c>
      <c r="E8" s="13" t="s">
        <v>10</v>
      </c>
      <c r="F8" s="9" t="s">
        <v>23</v>
      </c>
      <c r="G8" s="9" t="s">
        <v>24</v>
      </c>
      <c r="H8" s="9" t="s">
        <v>25</v>
      </c>
      <c r="I8" s="9" t="s">
        <v>26</v>
      </c>
      <c r="J8" s="9" t="s">
        <v>27</v>
      </c>
      <c r="K8" s="9" t="s">
        <v>28</v>
      </c>
      <c r="L8" s="9" t="s">
        <v>29</v>
      </c>
      <c r="M8" s="9" t="s">
        <v>11</v>
      </c>
      <c r="N8" s="8" t="s">
        <v>35</v>
      </c>
      <c r="O8" s="8" t="s">
        <v>36</v>
      </c>
      <c r="P8" s="8" t="s">
        <v>12</v>
      </c>
      <c r="S8" s="8" t="s">
        <v>107</v>
      </c>
      <c r="T8" s="8" t="s">
        <v>107</v>
      </c>
      <c r="U8" s="8" t="s">
        <v>107</v>
      </c>
      <c r="V8" s="8" t="s">
        <v>107</v>
      </c>
      <c r="W8" s="8" t="s">
        <v>107</v>
      </c>
    </row>
    <row r="9" spans="1:26" ht="25.2">
      <c r="B9" s="15" t="s">
        <v>40</v>
      </c>
      <c r="C9" s="15" t="s">
        <v>165</v>
      </c>
      <c r="D9" s="15" t="s">
        <v>64</v>
      </c>
      <c r="E9" s="11"/>
      <c r="F9" s="11" t="s">
        <v>86</v>
      </c>
      <c r="G9" s="15"/>
      <c r="H9" s="15"/>
      <c r="I9" s="11" t="s">
        <v>14</v>
      </c>
      <c r="J9" s="11"/>
      <c r="K9" s="11"/>
      <c r="L9" s="15"/>
      <c r="M9" s="15" t="s">
        <v>14</v>
      </c>
      <c r="N9" s="14" t="s">
        <v>61</v>
      </c>
      <c r="O9" s="12"/>
      <c r="P9" s="12"/>
      <c r="S9" s="12"/>
      <c r="T9" s="12"/>
      <c r="U9" s="12"/>
      <c r="V9" s="12"/>
      <c r="W9" s="12"/>
    </row>
    <row r="10" spans="1:26">
      <c r="B10" s="15" t="s">
        <v>41</v>
      </c>
      <c r="C10" s="15" t="s">
        <v>42</v>
      </c>
      <c r="D10" s="15" t="s">
        <v>13</v>
      </c>
      <c r="E10" s="11">
        <v>8</v>
      </c>
      <c r="F10" s="11" t="s">
        <v>86</v>
      </c>
      <c r="G10" s="15"/>
      <c r="H10" s="15"/>
      <c r="I10" s="11"/>
      <c r="J10" s="11"/>
      <c r="K10" s="11"/>
      <c r="L10" s="15" t="s">
        <v>69</v>
      </c>
      <c r="M10" s="15"/>
      <c r="N10" s="12" t="s">
        <v>1342</v>
      </c>
      <c r="O10" s="12"/>
      <c r="P10" s="12"/>
      <c r="S10" s="12"/>
      <c r="T10" s="12"/>
      <c r="U10" s="12"/>
      <c r="V10" s="12"/>
      <c r="W10" s="12"/>
    </row>
    <row r="11" spans="1:26" ht="37.799999999999997">
      <c r="B11" s="15" t="s">
        <v>52</v>
      </c>
      <c r="C11" s="15" t="s">
        <v>49</v>
      </c>
      <c r="D11" s="15" t="s">
        <v>13</v>
      </c>
      <c r="E11" s="84">
        <v>100</v>
      </c>
      <c r="F11" s="11" t="s">
        <v>86</v>
      </c>
      <c r="G11" s="15"/>
      <c r="H11" s="15"/>
      <c r="I11" s="11"/>
      <c r="J11" s="11"/>
      <c r="K11" s="11"/>
      <c r="L11" s="85" t="s">
        <v>76</v>
      </c>
      <c r="M11" s="15" t="s">
        <v>14</v>
      </c>
      <c r="N11" s="12" t="s">
        <v>71</v>
      </c>
      <c r="O11" s="86" t="s">
        <v>1341</v>
      </c>
      <c r="P11" s="12"/>
      <c r="S11" s="12"/>
      <c r="T11" s="12"/>
      <c r="U11" s="12"/>
      <c r="V11" s="12"/>
      <c r="W11" s="12"/>
    </row>
    <row r="12" spans="1:26">
      <c r="B12" s="15" t="s">
        <v>50</v>
      </c>
      <c r="C12" s="15" t="s">
        <v>51</v>
      </c>
      <c r="D12" s="15" t="s">
        <v>13</v>
      </c>
      <c r="E12" s="11">
        <v>2</v>
      </c>
      <c r="F12" s="11" t="s">
        <v>86</v>
      </c>
      <c r="G12" s="15"/>
      <c r="H12" s="15"/>
      <c r="I12" s="11"/>
      <c r="J12" s="11"/>
      <c r="K12" s="11"/>
      <c r="L12" s="15" t="s">
        <v>77</v>
      </c>
      <c r="M12" s="15" t="s">
        <v>14</v>
      </c>
      <c r="N12" s="12" t="s">
        <v>72</v>
      </c>
      <c r="O12" s="87" t="s">
        <v>1332</v>
      </c>
      <c r="P12" s="12"/>
      <c r="S12" s="12"/>
      <c r="T12" s="12"/>
      <c r="U12" s="12"/>
      <c r="V12" s="12"/>
      <c r="W12" s="12"/>
    </row>
    <row r="13" spans="1:26" ht="25.2">
      <c r="B13" s="85" t="s">
        <v>1333</v>
      </c>
      <c r="C13" s="85" t="s">
        <v>1334</v>
      </c>
      <c r="D13" s="85" t="s">
        <v>13</v>
      </c>
      <c r="E13" s="84">
        <v>2</v>
      </c>
      <c r="F13" s="84" t="s">
        <v>86</v>
      </c>
      <c r="G13" s="85"/>
      <c r="H13" s="85"/>
      <c r="I13" s="84"/>
      <c r="J13" s="84"/>
      <c r="K13" s="84"/>
      <c r="L13" s="85" t="s">
        <v>77</v>
      </c>
      <c r="M13" s="85" t="s">
        <v>14</v>
      </c>
      <c r="N13" s="87" t="s">
        <v>1343</v>
      </c>
      <c r="O13" s="104" t="s">
        <v>1335</v>
      </c>
      <c r="P13" s="87"/>
      <c r="S13" s="12"/>
      <c r="T13" s="12"/>
      <c r="U13" s="12"/>
      <c r="V13" s="12"/>
      <c r="W13" s="12"/>
    </row>
    <row r="14" spans="1:26" ht="25.2">
      <c r="B14" s="85" t="s">
        <v>1350</v>
      </c>
      <c r="C14" s="103" t="s">
        <v>1362</v>
      </c>
      <c r="D14" s="85" t="s">
        <v>13</v>
      </c>
      <c r="E14" s="84">
        <v>1</v>
      </c>
      <c r="F14" s="84" t="s">
        <v>86</v>
      </c>
      <c r="G14" s="85"/>
      <c r="H14" s="85"/>
      <c r="I14" s="84"/>
      <c r="J14" s="84"/>
      <c r="K14" s="84"/>
      <c r="L14" s="85" t="s">
        <v>81</v>
      </c>
      <c r="M14" s="85" t="s">
        <v>14</v>
      </c>
      <c r="N14" s="87" t="s">
        <v>1345</v>
      </c>
      <c r="O14" s="86" t="s">
        <v>1351</v>
      </c>
      <c r="P14" s="86" t="s">
        <v>1355</v>
      </c>
      <c r="S14" s="12"/>
      <c r="T14" s="12"/>
      <c r="U14" s="12"/>
      <c r="V14" s="12"/>
      <c r="W14" s="12"/>
    </row>
    <row r="15" spans="1:26" ht="25.2">
      <c r="B15" s="85" t="s">
        <v>1336</v>
      </c>
      <c r="C15" s="85" t="s">
        <v>1338</v>
      </c>
      <c r="D15" s="85" t="s">
        <v>1340</v>
      </c>
      <c r="E15" s="84" t="s">
        <v>505</v>
      </c>
      <c r="F15" s="84" t="s">
        <v>86</v>
      </c>
      <c r="G15" s="85"/>
      <c r="H15" s="85"/>
      <c r="I15" s="84"/>
      <c r="J15" s="84"/>
      <c r="K15" s="84"/>
      <c r="L15" s="85" t="s">
        <v>204</v>
      </c>
      <c r="M15" s="85" t="s">
        <v>14</v>
      </c>
      <c r="N15" s="86" t="s">
        <v>1348</v>
      </c>
      <c r="O15" s="87"/>
      <c r="P15" s="86" t="s">
        <v>1349</v>
      </c>
      <c r="S15" s="12"/>
      <c r="T15" s="12"/>
      <c r="U15" s="12"/>
      <c r="V15" s="12"/>
      <c r="W15" s="12"/>
    </row>
    <row r="16" spans="1:26" ht="25.2">
      <c r="B16" s="85" t="s">
        <v>1337</v>
      </c>
      <c r="C16" s="85" t="s">
        <v>1339</v>
      </c>
      <c r="D16" s="85" t="s">
        <v>1340</v>
      </c>
      <c r="E16" s="84" t="s">
        <v>505</v>
      </c>
      <c r="F16" s="84" t="s">
        <v>86</v>
      </c>
      <c r="G16" s="85"/>
      <c r="H16" s="85"/>
      <c r="I16" s="84"/>
      <c r="J16" s="84"/>
      <c r="K16" s="84"/>
      <c r="L16" s="85" t="s">
        <v>204</v>
      </c>
      <c r="M16" s="85" t="s">
        <v>14</v>
      </c>
      <c r="N16" s="86" t="s">
        <v>1344</v>
      </c>
      <c r="O16" s="87"/>
      <c r="P16" s="86" t="s">
        <v>1349</v>
      </c>
      <c r="S16" s="12"/>
      <c r="T16" s="12"/>
      <c r="U16" s="12"/>
      <c r="V16" s="12"/>
      <c r="W16" s="12"/>
    </row>
    <row r="17" spans="2:23" ht="25.2">
      <c r="B17" s="15" t="s">
        <v>57</v>
      </c>
      <c r="C17" s="15" t="s">
        <v>55</v>
      </c>
      <c r="D17" s="15" t="s">
        <v>13</v>
      </c>
      <c r="E17" s="11">
        <v>1</v>
      </c>
      <c r="F17" s="11" t="s">
        <v>86</v>
      </c>
      <c r="G17" s="15"/>
      <c r="H17" s="15"/>
      <c r="I17" s="11"/>
      <c r="J17" s="11"/>
      <c r="K17" s="11"/>
      <c r="L17" s="15" t="s">
        <v>81</v>
      </c>
      <c r="M17" s="15" t="s">
        <v>14</v>
      </c>
      <c r="N17" s="12" t="s">
        <v>1345</v>
      </c>
      <c r="O17" s="14" t="s">
        <v>73</v>
      </c>
      <c r="P17" s="12"/>
      <c r="S17" s="12"/>
      <c r="T17" s="12"/>
      <c r="U17" s="12"/>
      <c r="V17" s="12"/>
      <c r="W17" s="12"/>
    </row>
    <row r="18" spans="2:23">
      <c r="B18" s="15" t="s">
        <v>58</v>
      </c>
      <c r="C18" s="15" t="s">
        <v>56</v>
      </c>
      <c r="D18" s="15" t="s">
        <v>13</v>
      </c>
      <c r="E18" s="84">
        <v>10</v>
      </c>
      <c r="F18" s="11" t="s">
        <v>86</v>
      </c>
      <c r="G18" s="15"/>
      <c r="H18" s="15"/>
      <c r="I18" s="11"/>
      <c r="J18" s="11"/>
      <c r="K18" s="11"/>
      <c r="L18" s="15" t="s">
        <v>1347</v>
      </c>
      <c r="M18" s="15" t="s">
        <v>14</v>
      </c>
      <c r="N18" s="86" t="s">
        <v>1352</v>
      </c>
      <c r="O18" s="14"/>
      <c r="P18" s="12"/>
      <c r="S18" s="12"/>
      <c r="T18" s="12"/>
      <c r="U18" s="12"/>
      <c r="V18" s="12"/>
      <c r="W18" s="12"/>
    </row>
    <row r="19" spans="2:23" ht="25.2">
      <c r="B19" s="15" t="s">
        <v>60</v>
      </c>
      <c r="C19" s="15" t="s">
        <v>54</v>
      </c>
      <c r="D19" s="15" t="s">
        <v>47</v>
      </c>
      <c r="E19" s="84">
        <v>512</v>
      </c>
      <c r="F19" s="11" t="s">
        <v>86</v>
      </c>
      <c r="G19" s="15"/>
      <c r="H19" s="15"/>
      <c r="I19" s="11"/>
      <c r="J19" s="11"/>
      <c r="K19" s="11"/>
      <c r="L19" s="15" t="s">
        <v>1346</v>
      </c>
      <c r="M19" s="15" t="s">
        <v>14</v>
      </c>
      <c r="N19" s="86" t="s">
        <v>1353</v>
      </c>
      <c r="O19" s="12"/>
      <c r="P19" s="12"/>
      <c r="S19" s="12"/>
      <c r="T19" s="12"/>
      <c r="U19" s="12"/>
      <c r="V19" s="12"/>
      <c r="W19" s="12"/>
    </row>
    <row r="20" spans="2:23" ht="25.2">
      <c r="B20" s="15" t="s">
        <v>59</v>
      </c>
      <c r="C20" s="15" t="s">
        <v>53</v>
      </c>
      <c r="D20" s="15" t="s">
        <v>47</v>
      </c>
      <c r="E20" s="84">
        <v>512</v>
      </c>
      <c r="F20" s="11" t="s">
        <v>86</v>
      </c>
      <c r="G20" s="15"/>
      <c r="H20" s="15"/>
      <c r="I20" s="11"/>
      <c r="J20" s="11"/>
      <c r="K20" s="11"/>
      <c r="L20" s="15" t="s">
        <v>1346</v>
      </c>
      <c r="M20" s="15" t="s">
        <v>14</v>
      </c>
      <c r="N20" s="86" t="s">
        <v>1354</v>
      </c>
      <c r="O20" s="12"/>
      <c r="P20" s="12"/>
      <c r="S20" s="12"/>
      <c r="T20" s="12"/>
      <c r="U20" s="12"/>
      <c r="V20" s="12"/>
      <c r="W20" s="12"/>
    </row>
    <row r="21" spans="2:23">
      <c r="B21" s="15" t="s">
        <v>43</v>
      </c>
      <c r="C21" s="15" t="s">
        <v>1363</v>
      </c>
      <c r="D21" s="15" t="s">
        <v>17</v>
      </c>
      <c r="E21" s="11">
        <v>8</v>
      </c>
      <c r="F21" s="11" t="s">
        <v>86</v>
      </c>
      <c r="G21" s="54" t="s">
        <v>135</v>
      </c>
      <c r="H21" s="15"/>
      <c r="I21" s="11"/>
      <c r="J21" s="11"/>
      <c r="K21" s="11"/>
      <c r="L21" s="15" t="s">
        <v>82</v>
      </c>
      <c r="M21" s="15" t="s">
        <v>14</v>
      </c>
      <c r="N21" s="12"/>
      <c r="O21" s="12"/>
      <c r="P21" s="12"/>
      <c r="S21" s="12"/>
      <c r="T21" s="12"/>
      <c r="U21" s="12"/>
      <c r="V21" s="12"/>
      <c r="W21" s="12"/>
    </row>
    <row r="22" spans="2:23">
      <c r="B22" s="15" t="s">
        <v>44</v>
      </c>
      <c r="C22" s="15" t="s">
        <v>18</v>
      </c>
      <c r="D22" s="15" t="s">
        <v>17</v>
      </c>
      <c r="E22" s="11">
        <v>8</v>
      </c>
      <c r="F22" s="11" t="s">
        <v>86</v>
      </c>
      <c r="G22" s="54" t="s">
        <v>135</v>
      </c>
      <c r="H22" s="15"/>
      <c r="I22" s="11"/>
      <c r="J22" s="11"/>
      <c r="K22" s="11"/>
      <c r="L22" s="15" t="s">
        <v>82</v>
      </c>
      <c r="M22" s="15" t="s">
        <v>14</v>
      </c>
      <c r="N22" s="12"/>
      <c r="O22" s="12"/>
      <c r="P22" s="12"/>
      <c r="S22" s="12"/>
      <c r="T22" s="12"/>
      <c r="U22" s="12"/>
      <c r="V22" s="12"/>
      <c r="W22" s="12"/>
    </row>
    <row r="23" spans="2:23">
      <c r="B23" s="15" t="s">
        <v>19</v>
      </c>
      <c r="C23" s="15" t="s">
        <v>20</v>
      </c>
      <c r="D23" s="15" t="s">
        <v>13</v>
      </c>
      <c r="E23" s="11">
        <v>40</v>
      </c>
      <c r="F23" s="11" t="s">
        <v>86</v>
      </c>
      <c r="G23" s="15"/>
      <c r="H23" s="15"/>
      <c r="I23" s="11"/>
      <c r="J23" s="11"/>
      <c r="K23" s="11"/>
      <c r="L23" s="15" t="s">
        <v>78</v>
      </c>
      <c r="M23" s="15" t="s">
        <v>14</v>
      </c>
      <c r="N23" s="12"/>
      <c r="O23" s="12"/>
      <c r="P23" s="12"/>
      <c r="S23" s="12"/>
      <c r="T23" s="12"/>
      <c r="U23" s="12"/>
      <c r="V23" s="12"/>
      <c r="W23" s="12"/>
    </row>
    <row r="24" spans="2:23">
      <c r="B24" s="15" t="s">
        <v>21</v>
      </c>
      <c r="C24" s="15" t="s">
        <v>22</v>
      </c>
      <c r="D24" s="15" t="s">
        <v>13</v>
      </c>
      <c r="E24" s="11">
        <v>40</v>
      </c>
      <c r="F24" s="11" t="s">
        <v>86</v>
      </c>
      <c r="G24" s="15"/>
      <c r="H24" s="15"/>
      <c r="I24" s="11"/>
      <c r="J24" s="11"/>
      <c r="K24" s="11"/>
      <c r="L24" s="15" t="s">
        <v>78</v>
      </c>
      <c r="M24" s="15" t="s">
        <v>14</v>
      </c>
      <c r="N24" s="12"/>
      <c r="O24" s="12"/>
      <c r="P24" s="12"/>
      <c r="S24" s="12"/>
      <c r="T24" s="12"/>
      <c r="U24" s="12"/>
      <c r="V24" s="12"/>
      <c r="W24" s="12"/>
    </row>
    <row r="25" spans="2:23" ht="25.2">
      <c r="B25" s="15" t="s">
        <v>45</v>
      </c>
      <c r="C25" s="15" t="s">
        <v>46</v>
      </c>
      <c r="D25" s="15" t="s">
        <v>13</v>
      </c>
      <c r="E25" s="11">
        <v>10</v>
      </c>
      <c r="F25" s="11" t="s">
        <v>86</v>
      </c>
      <c r="G25" s="15"/>
      <c r="H25" s="15"/>
      <c r="I25" s="11"/>
      <c r="J25" s="11"/>
      <c r="K25" s="11"/>
      <c r="L25" s="15" t="s">
        <v>83</v>
      </c>
      <c r="M25" s="15" t="s">
        <v>14</v>
      </c>
      <c r="N25" s="12" t="s">
        <v>62</v>
      </c>
      <c r="O25" s="14" t="s">
        <v>63</v>
      </c>
      <c r="P25" s="12"/>
      <c r="S25" s="12"/>
      <c r="T25" s="12"/>
      <c r="U25" s="12"/>
      <c r="V25" s="12"/>
      <c r="W25" s="12"/>
    </row>
  </sheetData>
  <mergeCells count="4">
    <mergeCell ref="D5:F5"/>
    <mergeCell ref="D6:F6"/>
    <mergeCell ref="H6:P6"/>
    <mergeCell ref="H5:P5"/>
  </mergeCells>
  <phoneticPr fontId="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DEDCB-0A83-4D67-A361-65247AE4D4AF}">
  <sheetPr codeName="Sheet20">
    <tabColor theme="0" tint="-0.499984740745262"/>
  </sheetPr>
  <dimension ref="A2:Z97"/>
  <sheetViews>
    <sheetView showGridLines="0" workbookViewId="0"/>
  </sheetViews>
  <sheetFormatPr defaultRowHeight="15"/>
  <cols>
    <col min="1" max="1" width="2.54296875" customWidth="1"/>
    <col min="2" max="3" width="22.81640625" customWidth="1"/>
    <col min="4" max="4" width="7.1796875" bestFit="1" customWidth="1"/>
    <col min="5" max="5" width="5.1796875" customWidth="1"/>
    <col min="6" max="6" width="4.453125" customWidth="1"/>
    <col min="7" max="7" width="15.36328125" bestFit="1" customWidth="1"/>
    <col min="8" max="8" width="4.453125" customWidth="1"/>
    <col min="9" max="9" width="3.08984375" bestFit="1" customWidth="1"/>
    <col min="10" max="10" width="3.1796875" bestFit="1" customWidth="1"/>
    <col min="11" max="11" width="3" bestFit="1" customWidth="1"/>
    <col min="12" max="12" width="12" bestFit="1" customWidth="1"/>
    <col min="13" max="13" width="4.453125" customWidth="1"/>
    <col min="14" max="14" width="30.453125" customWidth="1"/>
    <col min="15" max="15" width="27.36328125" customWidth="1"/>
    <col min="16" max="16" width="33.36328125" customWidth="1"/>
    <col min="17" max="17" width="2.36328125" customWidth="1"/>
    <col min="18" max="18" width="6.54296875" customWidth="1"/>
    <col min="19" max="23" width="20.6328125" customWidth="1"/>
  </cols>
  <sheetData>
    <row r="2" spans="1:26">
      <c r="A2" s="6"/>
      <c r="B2" s="7" t="s">
        <v>38</v>
      </c>
      <c r="C2" s="6"/>
      <c r="D2" s="6"/>
      <c r="E2" s="6"/>
      <c r="F2" s="6"/>
      <c r="G2" s="6"/>
      <c r="H2" s="6"/>
      <c r="I2" s="6"/>
      <c r="J2" s="6"/>
      <c r="K2" s="6"/>
      <c r="L2" s="6"/>
      <c r="M2" s="6"/>
      <c r="N2" s="6"/>
      <c r="O2" s="6"/>
      <c r="P2" s="6"/>
      <c r="Q2" s="6"/>
      <c r="R2" s="6"/>
      <c r="S2" s="6"/>
      <c r="T2" s="6"/>
      <c r="U2" s="6"/>
      <c r="V2" s="6"/>
      <c r="W2" s="6"/>
      <c r="X2" s="6"/>
      <c r="Y2" s="6"/>
      <c r="Z2" s="6"/>
    </row>
    <row r="3" spans="1:26" ht="7.5" customHeight="1">
      <c r="A3" s="1"/>
      <c r="B3" s="1"/>
      <c r="C3" s="1"/>
      <c r="D3" s="1"/>
      <c r="E3" s="1"/>
      <c r="F3" s="1"/>
      <c r="G3" s="1"/>
      <c r="H3" s="1"/>
      <c r="I3" s="1"/>
      <c r="J3" s="1"/>
      <c r="K3" s="1"/>
      <c r="L3" s="1"/>
      <c r="M3" s="1"/>
      <c r="N3" s="1"/>
      <c r="O3" s="1"/>
      <c r="P3" s="1"/>
      <c r="Q3" s="1"/>
      <c r="R3" s="1"/>
      <c r="S3" s="1"/>
      <c r="T3" s="1"/>
      <c r="U3" s="1"/>
      <c r="V3" s="1"/>
      <c r="W3" s="1"/>
      <c r="X3" s="1"/>
      <c r="Y3" s="1"/>
      <c r="Z3" s="1"/>
    </row>
    <row r="5" spans="1:26">
      <c r="B5" s="8" t="s">
        <v>30</v>
      </c>
      <c r="C5" s="8" t="s">
        <v>31</v>
      </c>
      <c r="D5" s="234" t="s">
        <v>37</v>
      </c>
      <c r="E5" s="235"/>
      <c r="F5" s="236"/>
      <c r="G5" s="8" t="s">
        <v>74</v>
      </c>
      <c r="H5" s="234" t="s">
        <v>85</v>
      </c>
      <c r="I5" s="235"/>
      <c r="J5" s="235"/>
      <c r="K5" s="235"/>
      <c r="L5" s="235"/>
      <c r="M5" s="235"/>
      <c r="N5" s="235"/>
      <c r="O5" s="235"/>
      <c r="P5" s="236"/>
    </row>
    <row r="6" spans="1:26" ht="54.75" customHeight="1">
      <c r="B6" s="30" t="s">
        <v>1224</v>
      </c>
      <c r="C6" s="30" t="s">
        <v>1225</v>
      </c>
      <c r="D6" s="237" t="s">
        <v>1226</v>
      </c>
      <c r="E6" s="238"/>
      <c r="F6" s="239"/>
      <c r="G6" s="45" t="s">
        <v>75</v>
      </c>
      <c r="H6" s="287" t="s">
        <v>1150</v>
      </c>
      <c r="I6" s="288"/>
      <c r="J6" s="288"/>
      <c r="K6" s="288"/>
      <c r="L6" s="288"/>
      <c r="M6" s="288"/>
      <c r="N6" s="288"/>
      <c r="O6" s="288"/>
      <c r="P6" s="289"/>
      <c r="S6" t="s">
        <v>109</v>
      </c>
    </row>
    <row r="8" spans="1:26">
      <c r="B8" s="8" t="s">
        <v>32</v>
      </c>
      <c r="C8" s="8" t="s">
        <v>33</v>
      </c>
      <c r="D8" s="8" t="s">
        <v>34</v>
      </c>
      <c r="E8" s="13" t="s">
        <v>10</v>
      </c>
      <c r="F8" s="9" t="s">
        <v>23</v>
      </c>
      <c r="G8" s="9" t="s">
        <v>24</v>
      </c>
      <c r="H8" s="9" t="s">
        <v>25</v>
      </c>
      <c r="I8" s="9" t="s">
        <v>26</v>
      </c>
      <c r="J8" s="9" t="s">
        <v>27</v>
      </c>
      <c r="K8" s="9" t="s">
        <v>28</v>
      </c>
      <c r="L8" s="9" t="s">
        <v>29</v>
      </c>
      <c r="M8" s="9" t="s">
        <v>11</v>
      </c>
      <c r="N8" s="8" t="s">
        <v>35</v>
      </c>
      <c r="O8" s="8" t="s">
        <v>36</v>
      </c>
      <c r="P8" s="8" t="s">
        <v>12</v>
      </c>
      <c r="S8" s="8" t="s">
        <v>107</v>
      </c>
      <c r="T8" s="8" t="s">
        <v>107</v>
      </c>
      <c r="U8" s="8" t="s">
        <v>107</v>
      </c>
      <c r="V8" s="8" t="s">
        <v>107</v>
      </c>
      <c r="W8" s="8" t="s">
        <v>107</v>
      </c>
    </row>
    <row r="9" spans="1:26" ht="25.2">
      <c r="A9" s="29"/>
      <c r="B9" s="46" t="s">
        <v>510</v>
      </c>
      <c r="C9" s="46" t="s">
        <v>422</v>
      </c>
      <c r="D9" s="46" t="s">
        <v>13</v>
      </c>
      <c r="E9" s="47">
        <v>40</v>
      </c>
      <c r="F9" s="47"/>
      <c r="G9" s="46"/>
      <c r="H9" s="46"/>
      <c r="I9" s="47" t="s">
        <v>1311</v>
      </c>
      <c r="J9" s="47"/>
      <c r="K9" s="47"/>
      <c r="L9" s="46"/>
      <c r="M9" s="46" t="s">
        <v>14</v>
      </c>
      <c r="N9" s="48" t="s">
        <v>61</v>
      </c>
      <c r="O9" s="49"/>
      <c r="P9" s="49"/>
      <c r="S9" s="12"/>
      <c r="T9" s="12"/>
      <c r="U9" s="12"/>
      <c r="V9" s="12"/>
      <c r="W9" s="12"/>
    </row>
    <row r="10" spans="1:26">
      <c r="A10" s="29"/>
      <c r="B10" s="78" t="s">
        <v>1151</v>
      </c>
      <c r="C10" s="71" t="s">
        <v>1230</v>
      </c>
      <c r="D10" s="78" t="s">
        <v>47</v>
      </c>
      <c r="E10" s="79">
        <v>4</v>
      </c>
      <c r="F10" s="79"/>
      <c r="G10" s="78"/>
      <c r="H10" s="78"/>
      <c r="I10" s="79"/>
      <c r="J10" s="79" t="s">
        <v>1311</v>
      </c>
      <c r="K10" s="79"/>
      <c r="L10" s="78" t="s">
        <v>683</v>
      </c>
      <c r="M10" s="78"/>
      <c r="N10" s="80" t="s">
        <v>1134</v>
      </c>
      <c r="O10" s="81"/>
      <c r="P10" s="80"/>
      <c r="S10" s="12"/>
      <c r="T10" s="12"/>
      <c r="U10" s="12"/>
      <c r="V10" s="12"/>
      <c r="W10" s="12"/>
    </row>
    <row r="11" spans="1:26">
      <c r="A11" s="29"/>
      <c r="B11" s="78" t="s">
        <v>1152</v>
      </c>
      <c r="C11" s="71" t="s">
        <v>1231</v>
      </c>
      <c r="D11" s="78" t="s">
        <v>47</v>
      </c>
      <c r="E11" s="79">
        <v>20</v>
      </c>
      <c r="F11" s="79"/>
      <c r="G11" s="78"/>
      <c r="H11" s="78"/>
      <c r="I11" s="79"/>
      <c r="J11" s="79"/>
      <c r="K11" s="79"/>
      <c r="L11" s="78" t="s">
        <v>289</v>
      </c>
      <c r="M11" s="78"/>
      <c r="N11" s="80"/>
      <c r="O11" s="81"/>
      <c r="P11" s="80"/>
      <c r="S11" s="12"/>
      <c r="T11" s="12"/>
      <c r="U11" s="12"/>
      <c r="V11" s="12"/>
      <c r="W11" s="12"/>
    </row>
    <row r="12" spans="1:26">
      <c r="A12" s="29"/>
      <c r="B12" s="78" t="s">
        <v>1153</v>
      </c>
      <c r="C12" s="71" t="s">
        <v>1232</v>
      </c>
      <c r="D12" s="78" t="s">
        <v>47</v>
      </c>
      <c r="E12" s="79">
        <v>6</v>
      </c>
      <c r="F12" s="79"/>
      <c r="G12" s="78"/>
      <c r="H12" s="78"/>
      <c r="I12" s="79"/>
      <c r="J12" s="79"/>
      <c r="K12" s="79"/>
      <c r="L12" s="78" t="s">
        <v>773</v>
      </c>
      <c r="M12" s="78"/>
      <c r="N12" s="80"/>
      <c r="O12" s="81"/>
      <c r="P12" s="80"/>
      <c r="S12" s="12"/>
      <c r="T12" s="12"/>
      <c r="U12" s="12"/>
      <c r="V12" s="12"/>
      <c r="W12" s="12"/>
    </row>
    <row r="13" spans="1:26">
      <c r="A13" s="29"/>
      <c r="B13" s="78" t="s">
        <v>1154</v>
      </c>
      <c r="C13" s="71" t="s">
        <v>1237</v>
      </c>
      <c r="D13" s="78" t="s">
        <v>47</v>
      </c>
      <c r="E13" s="79">
        <v>4</v>
      </c>
      <c r="F13" s="79"/>
      <c r="G13" s="78"/>
      <c r="H13" s="78"/>
      <c r="I13" s="79"/>
      <c r="J13" s="79"/>
      <c r="K13" s="79"/>
      <c r="L13" s="78" t="s">
        <v>683</v>
      </c>
      <c r="M13" s="78"/>
      <c r="N13" s="80"/>
      <c r="O13" s="81"/>
      <c r="P13" s="80"/>
      <c r="S13" s="12"/>
      <c r="T13" s="12"/>
      <c r="U13" s="12"/>
      <c r="V13" s="12"/>
      <c r="W13" s="12"/>
    </row>
    <row r="14" spans="1:26">
      <c r="A14" s="29"/>
      <c r="B14" s="78" t="s">
        <v>1155</v>
      </c>
      <c r="C14" s="71" t="s">
        <v>1238</v>
      </c>
      <c r="D14" s="78" t="s">
        <v>47</v>
      </c>
      <c r="E14" s="79">
        <v>50</v>
      </c>
      <c r="F14" s="79"/>
      <c r="G14" s="78"/>
      <c r="H14" s="78"/>
      <c r="I14" s="79"/>
      <c r="J14" s="79"/>
      <c r="K14" s="79"/>
      <c r="L14" s="78" t="s">
        <v>315</v>
      </c>
      <c r="M14" s="78"/>
      <c r="N14" s="80"/>
      <c r="O14" s="81"/>
      <c r="P14" s="80"/>
      <c r="S14" s="12"/>
      <c r="T14" s="12"/>
      <c r="U14" s="12"/>
      <c r="V14" s="12"/>
      <c r="W14" s="12"/>
    </row>
    <row r="15" spans="1:26">
      <c r="A15" s="29"/>
      <c r="B15" s="78" t="s">
        <v>1156</v>
      </c>
      <c r="C15" s="71" t="s">
        <v>1239</v>
      </c>
      <c r="D15" s="78" t="s">
        <v>47</v>
      </c>
      <c r="E15" s="79">
        <v>7</v>
      </c>
      <c r="F15" s="79"/>
      <c r="G15" s="78"/>
      <c r="H15" s="78"/>
      <c r="I15" s="79"/>
      <c r="J15" s="79"/>
      <c r="K15" s="79"/>
      <c r="L15" s="78" t="s">
        <v>1209</v>
      </c>
      <c r="M15" s="78"/>
      <c r="N15" s="80"/>
      <c r="O15" s="81"/>
      <c r="P15" s="80"/>
      <c r="S15" s="12"/>
      <c r="T15" s="12"/>
      <c r="U15" s="12"/>
      <c r="V15" s="12"/>
      <c r="W15" s="12"/>
    </row>
    <row r="16" spans="1:26">
      <c r="A16" s="29"/>
      <c r="B16" s="78" t="s">
        <v>1157</v>
      </c>
      <c r="C16" s="71" t="s">
        <v>1240</v>
      </c>
      <c r="D16" s="78" t="s">
        <v>47</v>
      </c>
      <c r="E16" s="79">
        <v>40</v>
      </c>
      <c r="F16" s="79"/>
      <c r="G16" s="78"/>
      <c r="H16" s="78"/>
      <c r="I16" s="79"/>
      <c r="J16" s="79"/>
      <c r="K16" s="79"/>
      <c r="L16" s="78" t="s">
        <v>211</v>
      </c>
      <c r="M16" s="78"/>
      <c r="N16" s="80"/>
      <c r="O16" s="81"/>
      <c r="P16" s="80"/>
      <c r="S16" s="12"/>
      <c r="T16" s="12"/>
      <c r="U16" s="12"/>
      <c r="V16" s="12"/>
      <c r="W16" s="12"/>
    </row>
    <row r="17" spans="1:23">
      <c r="A17" s="29"/>
      <c r="B17" s="78" t="s">
        <v>1158</v>
      </c>
      <c r="C17" s="71" t="s">
        <v>1241</v>
      </c>
      <c r="D17" s="78" t="s">
        <v>47</v>
      </c>
      <c r="E17" s="79">
        <v>40</v>
      </c>
      <c r="F17" s="79"/>
      <c r="G17" s="78"/>
      <c r="H17" s="78"/>
      <c r="I17" s="79"/>
      <c r="J17" s="79"/>
      <c r="K17" s="79"/>
      <c r="L17" s="78" t="s">
        <v>211</v>
      </c>
      <c r="M17" s="78"/>
      <c r="N17" s="80"/>
      <c r="O17" s="81"/>
      <c r="P17" s="80"/>
      <c r="S17" s="12"/>
      <c r="T17" s="12"/>
      <c r="U17" s="12"/>
      <c r="V17" s="12"/>
      <c r="W17" s="12"/>
    </row>
    <row r="18" spans="1:23">
      <c r="A18" s="29"/>
      <c r="B18" s="78" t="s">
        <v>1159</v>
      </c>
      <c r="C18" s="71" t="s">
        <v>1242</v>
      </c>
      <c r="D18" s="78" t="s">
        <v>47</v>
      </c>
      <c r="E18" s="79">
        <v>40</v>
      </c>
      <c r="F18" s="79"/>
      <c r="G18" s="78"/>
      <c r="H18" s="78"/>
      <c r="I18" s="79"/>
      <c r="J18" s="79"/>
      <c r="K18" s="79"/>
      <c r="L18" s="78" t="s">
        <v>211</v>
      </c>
      <c r="M18" s="78"/>
      <c r="N18" s="80"/>
      <c r="O18" s="81"/>
      <c r="P18" s="80"/>
      <c r="S18" s="12"/>
      <c r="T18" s="12"/>
      <c r="U18" s="12"/>
      <c r="V18" s="12"/>
      <c r="W18" s="12"/>
    </row>
    <row r="19" spans="1:23">
      <c r="A19" s="29"/>
      <c r="B19" s="78" t="s">
        <v>1160</v>
      </c>
      <c r="C19" s="71" t="s">
        <v>1243</v>
      </c>
      <c r="D19" s="78" t="s">
        <v>47</v>
      </c>
      <c r="E19" s="79">
        <v>15</v>
      </c>
      <c r="F19" s="79"/>
      <c r="G19" s="78"/>
      <c r="H19" s="78"/>
      <c r="I19" s="79"/>
      <c r="J19" s="79"/>
      <c r="K19" s="79"/>
      <c r="L19" s="78" t="s">
        <v>715</v>
      </c>
      <c r="M19" s="78"/>
      <c r="N19" s="80"/>
      <c r="O19" s="81"/>
      <c r="P19" s="80"/>
      <c r="S19" s="12"/>
      <c r="T19" s="12"/>
      <c r="U19" s="12"/>
      <c r="V19" s="12"/>
      <c r="W19" s="12"/>
    </row>
    <row r="20" spans="1:23">
      <c r="A20" s="29"/>
      <c r="B20" s="78" t="s">
        <v>1161</v>
      </c>
      <c r="C20" s="71" t="s">
        <v>1252</v>
      </c>
      <c r="D20" s="78" t="s">
        <v>47</v>
      </c>
      <c r="E20" s="79">
        <v>2</v>
      </c>
      <c r="F20" s="79"/>
      <c r="G20" s="78"/>
      <c r="H20" s="78"/>
      <c r="I20" s="79"/>
      <c r="J20" s="79"/>
      <c r="K20" s="79"/>
      <c r="L20" s="78" t="s">
        <v>700</v>
      </c>
      <c r="M20" s="78"/>
      <c r="N20" s="80" t="s">
        <v>1211</v>
      </c>
      <c r="O20" s="81"/>
      <c r="P20" s="80"/>
      <c r="S20" s="12"/>
      <c r="T20" s="12"/>
      <c r="U20" s="12"/>
      <c r="V20" s="12"/>
      <c r="W20" s="12"/>
    </row>
    <row r="21" spans="1:23">
      <c r="A21" s="29"/>
      <c r="B21" s="78" t="s">
        <v>1162</v>
      </c>
      <c r="C21" s="71" t="s">
        <v>1253</v>
      </c>
      <c r="D21" s="78" t="s">
        <v>47</v>
      </c>
      <c r="E21" s="79">
        <v>50</v>
      </c>
      <c r="F21" s="79"/>
      <c r="G21" s="78"/>
      <c r="H21" s="78"/>
      <c r="I21" s="79"/>
      <c r="J21" s="79"/>
      <c r="K21" s="79"/>
      <c r="L21" s="78" t="s">
        <v>315</v>
      </c>
      <c r="M21" s="78"/>
      <c r="N21" s="80"/>
      <c r="O21" s="81"/>
      <c r="P21" s="80"/>
      <c r="S21" s="12"/>
      <c r="T21" s="12"/>
      <c r="U21" s="12"/>
      <c r="V21" s="12"/>
      <c r="W21" s="12"/>
    </row>
    <row r="22" spans="1:23">
      <c r="A22" s="29"/>
      <c r="B22" s="78" t="s">
        <v>1163</v>
      </c>
      <c r="C22" s="71" t="s">
        <v>1254</v>
      </c>
      <c r="D22" s="78" t="s">
        <v>47</v>
      </c>
      <c r="E22" s="79">
        <v>6</v>
      </c>
      <c r="F22" s="79"/>
      <c r="G22" s="78"/>
      <c r="H22" s="78"/>
      <c r="I22" s="79"/>
      <c r="J22" s="79"/>
      <c r="K22" s="79"/>
      <c r="L22" s="78" t="s">
        <v>773</v>
      </c>
      <c r="M22" s="78"/>
      <c r="N22" s="82" t="s">
        <v>1212</v>
      </c>
      <c r="O22" s="81"/>
      <c r="P22" s="80"/>
      <c r="S22" s="12"/>
      <c r="T22" s="12"/>
      <c r="U22" s="12"/>
      <c r="V22" s="12"/>
      <c r="W22" s="12"/>
    </row>
    <row r="23" spans="1:23">
      <c r="A23" s="29"/>
      <c r="B23" s="78" t="s">
        <v>1164</v>
      </c>
      <c r="C23" s="71" t="s">
        <v>1246</v>
      </c>
      <c r="D23" s="78" t="s">
        <v>47</v>
      </c>
      <c r="E23" s="79">
        <v>200</v>
      </c>
      <c r="F23" s="79"/>
      <c r="G23" s="78"/>
      <c r="H23" s="78"/>
      <c r="I23" s="79"/>
      <c r="J23" s="79"/>
      <c r="K23" s="79"/>
      <c r="L23" s="78" t="s">
        <v>812</v>
      </c>
      <c r="M23" s="78"/>
      <c r="N23" s="80"/>
      <c r="O23" s="81"/>
      <c r="P23" s="80"/>
      <c r="S23" s="12"/>
      <c r="T23" s="12"/>
      <c r="U23" s="12"/>
      <c r="V23" s="12"/>
      <c r="W23" s="12"/>
    </row>
    <row r="24" spans="1:23">
      <c r="A24" s="29"/>
      <c r="B24" s="78" t="s">
        <v>1165</v>
      </c>
      <c r="C24" s="71" t="s">
        <v>1247</v>
      </c>
      <c r="D24" s="78" t="s">
        <v>47</v>
      </c>
      <c r="E24" s="79">
        <v>7</v>
      </c>
      <c r="F24" s="79"/>
      <c r="G24" s="78"/>
      <c r="H24" s="78"/>
      <c r="I24" s="79"/>
      <c r="J24" s="79"/>
      <c r="K24" s="79"/>
      <c r="L24" s="78" t="s">
        <v>1209</v>
      </c>
      <c r="M24" s="78"/>
      <c r="N24" s="80"/>
      <c r="O24" s="81"/>
      <c r="P24" s="80"/>
      <c r="S24" s="12"/>
      <c r="T24" s="12"/>
      <c r="U24" s="12"/>
      <c r="V24" s="12"/>
      <c r="W24" s="12"/>
    </row>
    <row r="25" spans="1:23">
      <c r="A25" s="29"/>
      <c r="B25" s="78" t="s">
        <v>1166</v>
      </c>
      <c r="C25" s="71" t="s">
        <v>1248</v>
      </c>
      <c r="D25" s="78" t="s">
        <v>47</v>
      </c>
      <c r="E25" s="79">
        <v>2</v>
      </c>
      <c r="F25" s="79"/>
      <c r="G25" s="78"/>
      <c r="H25" s="78"/>
      <c r="I25" s="79"/>
      <c r="J25" s="79"/>
      <c r="K25" s="79"/>
      <c r="L25" s="78" t="s">
        <v>700</v>
      </c>
      <c r="M25" s="78"/>
      <c r="N25" s="80"/>
      <c r="O25" s="81"/>
      <c r="P25" s="80"/>
      <c r="S25" s="12"/>
      <c r="T25" s="12"/>
      <c r="U25" s="12"/>
      <c r="V25" s="12"/>
      <c r="W25" s="12"/>
    </row>
    <row r="26" spans="1:23">
      <c r="A26" s="29"/>
      <c r="B26" s="78" t="s">
        <v>1167</v>
      </c>
      <c r="C26" s="71" t="s">
        <v>1249</v>
      </c>
      <c r="D26" s="78" t="s">
        <v>47</v>
      </c>
      <c r="E26" s="79">
        <v>16</v>
      </c>
      <c r="F26" s="79"/>
      <c r="G26" s="78"/>
      <c r="H26" s="78"/>
      <c r="I26" s="79"/>
      <c r="J26" s="79"/>
      <c r="K26" s="79"/>
      <c r="L26" s="78" t="s">
        <v>649</v>
      </c>
      <c r="M26" s="78"/>
      <c r="N26" s="80"/>
      <c r="O26" s="81"/>
      <c r="P26" s="80"/>
      <c r="S26" s="12"/>
      <c r="T26" s="12"/>
      <c r="U26" s="12"/>
      <c r="V26" s="12"/>
      <c r="W26" s="12"/>
    </row>
    <row r="27" spans="1:23">
      <c r="A27" s="29"/>
      <c r="B27" s="78" t="s">
        <v>1168</v>
      </c>
      <c r="C27" s="71" t="s">
        <v>1251</v>
      </c>
      <c r="D27" s="78" t="s">
        <v>47</v>
      </c>
      <c r="E27" s="79">
        <v>200</v>
      </c>
      <c r="F27" s="79"/>
      <c r="G27" s="78"/>
      <c r="H27" s="78"/>
      <c r="I27" s="79"/>
      <c r="J27" s="79"/>
      <c r="K27" s="79"/>
      <c r="L27" s="78" t="s">
        <v>812</v>
      </c>
      <c r="M27" s="78"/>
      <c r="N27" s="80"/>
      <c r="O27" s="81"/>
      <c r="P27" s="80"/>
      <c r="S27" s="12"/>
      <c r="T27" s="12"/>
      <c r="U27" s="12"/>
      <c r="V27" s="12"/>
      <c r="W27" s="12"/>
    </row>
    <row r="28" spans="1:23">
      <c r="A28" s="29"/>
      <c r="B28" s="78" t="s">
        <v>1169</v>
      </c>
      <c r="C28" s="71" t="s">
        <v>1250</v>
      </c>
      <c r="D28" s="78" t="s">
        <v>47</v>
      </c>
      <c r="E28" s="79">
        <v>200</v>
      </c>
      <c r="F28" s="79"/>
      <c r="G28" s="78"/>
      <c r="H28" s="78"/>
      <c r="I28" s="79"/>
      <c r="J28" s="79"/>
      <c r="K28" s="79"/>
      <c r="L28" s="78" t="s">
        <v>812</v>
      </c>
      <c r="M28" s="78"/>
      <c r="N28" s="80"/>
      <c r="O28" s="81"/>
      <c r="P28" s="80"/>
      <c r="S28" s="12"/>
      <c r="T28" s="12"/>
      <c r="U28" s="12"/>
      <c r="V28" s="12"/>
      <c r="W28" s="12"/>
    </row>
    <row r="29" spans="1:23">
      <c r="A29" s="29"/>
      <c r="B29" s="78" t="s">
        <v>1170</v>
      </c>
      <c r="C29" s="71" t="s">
        <v>1244</v>
      </c>
      <c r="D29" s="78" t="s">
        <v>47</v>
      </c>
      <c r="E29" s="79">
        <v>15</v>
      </c>
      <c r="F29" s="79"/>
      <c r="G29" s="78"/>
      <c r="H29" s="78"/>
      <c r="I29" s="79"/>
      <c r="J29" s="79"/>
      <c r="K29" s="79"/>
      <c r="L29" s="78" t="s">
        <v>715</v>
      </c>
      <c r="M29" s="78"/>
      <c r="N29" s="80"/>
      <c r="O29" s="81"/>
      <c r="P29" s="80"/>
      <c r="S29" s="12"/>
      <c r="T29" s="12"/>
      <c r="U29" s="12"/>
      <c r="V29" s="12"/>
      <c r="W29" s="12"/>
    </row>
    <row r="30" spans="1:23">
      <c r="A30" s="29"/>
      <c r="B30" s="78" t="s">
        <v>1171</v>
      </c>
      <c r="C30" s="71" t="s">
        <v>1245</v>
      </c>
      <c r="D30" s="78" t="s">
        <v>47</v>
      </c>
      <c r="E30" s="79">
        <v>15</v>
      </c>
      <c r="F30" s="79"/>
      <c r="G30" s="78"/>
      <c r="H30" s="78"/>
      <c r="I30" s="79"/>
      <c r="J30" s="79"/>
      <c r="K30" s="79"/>
      <c r="L30" s="78" t="s">
        <v>715</v>
      </c>
      <c r="M30" s="78"/>
      <c r="N30" s="80"/>
      <c r="O30" s="81"/>
      <c r="P30" s="80"/>
      <c r="S30" s="12"/>
      <c r="T30" s="12"/>
      <c r="U30" s="12"/>
      <c r="V30" s="12"/>
      <c r="W30" s="12"/>
    </row>
    <row r="31" spans="1:23">
      <c r="A31" s="29"/>
      <c r="B31" s="78" t="s">
        <v>1172</v>
      </c>
      <c r="C31" s="71" t="s">
        <v>1233</v>
      </c>
      <c r="D31" s="78" t="s">
        <v>47</v>
      </c>
      <c r="E31" s="79">
        <v>1024</v>
      </c>
      <c r="F31" s="79"/>
      <c r="G31" s="78"/>
      <c r="H31" s="78"/>
      <c r="I31" s="79"/>
      <c r="J31" s="79"/>
      <c r="K31" s="79"/>
      <c r="L31" s="78" t="s">
        <v>686</v>
      </c>
      <c r="M31" s="78"/>
      <c r="N31" s="80"/>
      <c r="O31" s="81"/>
      <c r="P31" s="80"/>
      <c r="S31" s="12"/>
      <c r="T31" s="12"/>
      <c r="U31" s="12"/>
      <c r="V31" s="12"/>
      <c r="W31" s="12"/>
    </row>
    <row r="32" spans="1:23">
      <c r="A32" s="29"/>
      <c r="B32" s="78" t="s">
        <v>1173</v>
      </c>
      <c r="C32" s="71" t="s">
        <v>1234</v>
      </c>
      <c r="D32" s="78" t="s">
        <v>47</v>
      </c>
      <c r="E32" s="79">
        <v>1024</v>
      </c>
      <c r="F32" s="79"/>
      <c r="G32" s="78"/>
      <c r="H32" s="78"/>
      <c r="I32" s="79"/>
      <c r="J32" s="79"/>
      <c r="K32" s="79"/>
      <c r="L32" s="78" t="s">
        <v>686</v>
      </c>
      <c r="M32" s="78"/>
      <c r="N32" s="80"/>
      <c r="O32" s="81"/>
      <c r="P32" s="80"/>
      <c r="S32" s="12"/>
      <c r="T32" s="12"/>
      <c r="U32" s="12"/>
      <c r="V32" s="12"/>
      <c r="W32" s="12"/>
    </row>
    <row r="33" spans="1:23">
      <c r="A33" s="29"/>
      <c r="B33" s="78" t="s">
        <v>1174</v>
      </c>
      <c r="C33" s="71" t="s">
        <v>1235</v>
      </c>
      <c r="D33" s="78" t="s">
        <v>47</v>
      </c>
      <c r="E33" s="79">
        <v>10</v>
      </c>
      <c r="F33" s="79"/>
      <c r="G33" s="78"/>
      <c r="H33" s="78"/>
      <c r="I33" s="79"/>
      <c r="J33" s="79"/>
      <c r="K33" s="79"/>
      <c r="L33" s="78" t="s">
        <v>80</v>
      </c>
      <c r="M33" s="78"/>
      <c r="N33" s="80" t="s">
        <v>1203</v>
      </c>
      <c r="O33" s="81"/>
      <c r="P33" s="80" t="s">
        <v>1206</v>
      </c>
      <c r="S33" s="12"/>
      <c r="T33" s="12"/>
      <c r="U33" s="12"/>
      <c r="V33" s="12"/>
      <c r="W33" s="12"/>
    </row>
    <row r="34" spans="1:23">
      <c r="A34" s="29"/>
      <c r="B34" s="78" t="s">
        <v>1175</v>
      </c>
      <c r="C34" s="71" t="s">
        <v>1236</v>
      </c>
      <c r="D34" s="78" t="s">
        <v>47</v>
      </c>
      <c r="E34" s="79">
        <v>11</v>
      </c>
      <c r="F34" s="79"/>
      <c r="G34" s="78"/>
      <c r="H34" s="78"/>
      <c r="I34" s="79"/>
      <c r="J34" s="79"/>
      <c r="K34" s="79"/>
      <c r="L34" s="78" t="s">
        <v>1205</v>
      </c>
      <c r="M34" s="78"/>
      <c r="N34" s="80" t="s">
        <v>1204</v>
      </c>
      <c r="O34" s="81"/>
      <c r="P34" s="80" t="s">
        <v>1207</v>
      </c>
      <c r="S34" s="12"/>
      <c r="T34" s="12"/>
      <c r="U34" s="12"/>
      <c r="V34" s="12"/>
      <c r="W34" s="12"/>
    </row>
    <row r="35" spans="1:23">
      <c r="A35" s="29"/>
      <c r="B35" s="78" t="s">
        <v>1176</v>
      </c>
      <c r="C35" s="71" t="s">
        <v>1255</v>
      </c>
      <c r="D35" s="78" t="s">
        <v>47</v>
      </c>
      <c r="E35" s="79">
        <v>500</v>
      </c>
      <c r="F35" s="79"/>
      <c r="G35" s="78"/>
      <c r="H35" s="78"/>
      <c r="I35" s="79"/>
      <c r="J35" s="79"/>
      <c r="K35" s="79"/>
      <c r="L35" s="78" t="s">
        <v>1210</v>
      </c>
      <c r="M35" s="78"/>
      <c r="N35" s="80"/>
      <c r="O35" s="81"/>
      <c r="P35" s="80"/>
      <c r="S35" s="12"/>
      <c r="T35" s="12"/>
      <c r="U35" s="12"/>
      <c r="V35" s="12"/>
      <c r="W35" s="12"/>
    </row>
    <row r="36" spans="1:23">
      <c r="A36" s="29"/>
      <c r="B36" s="78" t="s">
        <v>1177</v>
      </c>
      <c r="C36" s="71" t="s">
        <v>1256</v>
      </c>
      <c r="D36" s="78" t="s">
        <v>47</v>
      </c>
      <c r="E36" s="79">
        <v>500</v>
      </c>
      <c r="F36" s="79"/>
      <c r="G36" s="78"/>
      <c r="H36" s="78"/>
      <c r="I36" s="79"/>
      <c r="J36" s="79"/>
      <c r="K36" s="79"/>
      <c r="L36" s="78" t="s">
        <v>1210</v>
      </c>
      <c r="M36" s="78"/>
      <c r="N36" s="80"/>
      <c r="O36" s="81"/>
      <c r="P36" s="80"/>
      <c r="S36" s="12"/>
      <c r="T36" s="12"/>
      <c r="U36" s="12"/>
      <c r="V36" s="12"/>
      <c r="W36" s="12"/>
    </row>
    <row r="37" spans="1:23">
      <c r="A37" s="29"/>
      <c r="B37" s="78" t="s">
        <v>1178</v>
      </c>
      <c r="C37" s="71" t="s">
        <v>1257</v>
      </c>
      <c r="D37" s="78" t="s">
        <v>47</v>
      </c>
      <c r="E37" s="79">
        <v>1</v>
      </c>
      <c r="F37" s="79"/>
      <c r="G37" s="78"/>
      <c r="H37" s="78"/>
      <c r="I37" s="79"/>
      <c r="J37" s="79"/>
      <c r="K37" s="79"/>
      <c r="L37" s="78" t="s">
        <v>662</v>
      </c>
      <c r="M37" s="78"/>
      <c r="N37" s="80" t="s">
        <v>1213</v>
      </c>
      <c r="O37" s="81"/>
      <c r="P37" s="80"/>
      <c r="S37" s="12"/>
      <c r="T37" s="12"/>
      <c r="U37" s="12"/>
      <c r="V37" s="12"/>
      <c r="W37" s="12"/>
    </row>
    <row r="38" spans="1:23">
      <c r="A38" s="29"/>
      <c r="B38" s="78" t="s">
        <v>1179</v>
      </c>
      <c r="C38" s="71" t="s">
        <v>1258</v>
      </c>
      <c r="D38" s="78" t="s">
        <v>47</v>
      </c>
      <c r="E38" s="79">
        <v>2</v>
      </c>
      <c r="F38" s="79"/>
      <c r="G38" s="78"/>
      <c r="H38" s="78"/>
      <c r="I38" s="79"/>
      <c r="J38" s="79"/>
      <c r="K38" s="79"/>
      <c r="L38" s="78" t="s">
        <v>700</v>
      </c>
      <c r="M38" s="78"/>
      <c r="N38" s="80"/>
      <c r="O38" s="81"/>
      <c r="P38" s="80"/>
      <c r="S38" s="12"/>
      <c r="T38" s="12"/>
      <c r="U38" s="12"/>
      <c r="V38" s="12"/>
      <c r="W38" s="12"/>
    </row>
    <row r="39" spans="1:23">
      <c r="A39" s="29"/>
      <c r="B39" s="78" t="s">
        <v>1180</v>
      </c>
      <c r="C39" s="71" t="s">
        <v>1259</v>
      </c>
      <c r="D39" s="78" t="s">
        <v>47</v>
      </c>
      <c r="E39" s="79">
        <v>5</v>
      </c>
      <c r="F39" s="79"/>
      <c r="G39" s="78"/>
      <c r="H39" s="78"/>
      <c r="I39" s="79"/>
      <c r="J39" s="79"/>
      <c r="K39" s="79"/>
      <c r="L39" s="78" t="s">
        <v>656</v>
      </c>
      <c r="M39" s="78"/>
      <c r="N39" s="80"/>
      <c r="O39" s="81"/>
      <c r="P39" s="80"/>
      <c r="S39" s="12"/>
      <c r="T39" s="12"/>
      <c r="U39" s="12"/>
      <c r="V39" s="12"/>
      <c r="W39" s="12"/>
    </row>
    <row r="40" spans="1:23">
      <c r="A40" s="29"/>
      <c r="B40" s="78" t="s">
        <v>1181</v>
      </c>
      <c r="C40" s="71" t="s">
        <v>1260</v>
      </c>
      <c r="D40" s="78" t="s">
        <v>47</v>
      </c>
      <c r="E40" s="79">
        <v>1</v>
      </c>
      <c r="F40" s="79"/>
      <c r="G40" s="78"/>
      <c r="H40" s="78"/>
      <c r="I40" s="79"/>
      <c r="J40" s="79"/>
      <c r="K40" s="79"/>
      <c r="L40" s="78" t="s">
        <v>662</v>
      </c>
      <c r="M40" s="78"/>
      <c r="N40" s="80" t="s">
        <v>1214</v>
      </c>
      <c r="O40" s="81"/>
      <c r="P40" s="80"/>
      <c r="S40" s="12"/>
      <c r="T40" s="12"/>
      <c r="U40" s="12"/>
      <c r="V40" s="12"/>
      <c r="W40" s="12"/>
    </row>
    <row r="41" spans="1:23">
      <c r="A41" s="29"/>
      <c r="B41" s="78" t="s">
        <v>1182</v>
      </c>
      <c r="C41" s="71" t="s">
        <v>1261</v>
      </c>
      <c r="D41" s="78" t="s">
        <v>47</v>
      </c>
      <c r="E41" s="79">
        <v>1</v>
      </c>
      <c r="F41" s="79"/>
      <c r="G41" s="78"/>
      <c r="H41" s="78"/>
      <c r="I41" s="79"/>
      <c r="J41" s="79"/>
      <c r="K41" s="79"/>
      <c r="L41" s="78" t="s">
        <v>662</v>
      </c>
      <c r="M41" s="78"/>
      <c r="N41" s="80" t="s">
        <v>1215</v>
      </c>
      <c r="O41" s="81"/>
      <c r="P41" s="83"/>
      <c r="S41" s="12"/>
      <c r="T41" s="12"/>
      <c r="U41" s="12"/>
      <c r="V41" s="12"/>
      <c r="W41" s="12"/>
    </row>
    <row r="42" spans="1:23">
      <c r="A42" s="29"/>
      <c r="B42" s="78" t="s">
        <v>1183</v>
      </c>
      <c r="C42" s="71" t="s">
        <v>1262</v>
      </c>
      <c r="D42" s="78" t="s">
        <v>47</v>
      </c>
      <c r="E42" s="79">
        <v>1</v>
      </c>
      <c r="F42" s="79"/>
      <c r="G42" s="78"/>
      <c r="H42" s="78"/>
      <c r="I42" s="79"/>
      <c r="J42" s="79"/>
      <c r="K42" s="79"/>
      <c r="L42" s="78" t="s">
        <v>662</v>
      </c>
      <c r="M42" s="78"/>
      <c r="N42" s="80" t="s">
        <v>1215</v>
      </c>
      <c r="O42" s="81"/>
      <c r="P42" s="80"/>
      <c r="S42" s="12"/>
      <c r="T42" s="12"/>
      <c r="U42" s="12"/>
      <c r="V42" s="12"/>
      <c r="W42" s="12"/>
    </row>
    <row r="43" spans="1:23">
      <c r="A43" s="29"/>
      <c r="B43" s="78" t="s">
        <v>1184</v>
      </c>
      <c r="C43" s="71" t="s">
        <v>1263</v>
      </c>
      <c r="D43" s="78" t="s">
        <v>47</v>
      </c>
      <c r="E43" s="79">
        <v>1</v>
      </c>
      <c r="F43" s="79"/>
      <c r="G43" s="78"/>
      <c r="H43" s="78"/>
      <c r="I43" s="79"/>
      <c r="J43" s="79"/>
      <c r="K43" s="79"/>
      <c r="L43" s="78" t="s">
        <v>662</v>
      </c>
      <c r="M43" s="78"/>
      <c r="N43" s="80" t="s">
        <v>1215</v>
      </c>
      <c r="O43" s="81"/>
      <c r="P43" s="80"/>
      <c r="S43" s="12"/>
      <c r="T43" s="12"/>
      <c r="U43" s="12"/>
      <c r="V43" s="12"/>
      <c r="W43" s="12"/>
    </row>
    <row r="44" spans="1:23">
      <c r="A44" s="29"/>
      <c r="B44" s="78" t="s">
        <v>1185</v>
      </c>
      <c r="C44" s="71" t="s">
        <v>1264</v>
      </c>
      <c r="D44" s="78" t="s">
        <v>47</v>
      </c>
      <c r="E44" s="79">
        <v>1</v>
      </c>
      <c r="F44" s="79"/>
      <c r="G44" s="78"/>
      <c r="H44" s="78"/>
      <c r="I44" s="79"/>
      <c r="J44" s="79"/>
      <c r="K44" s="79"/>
      <c r="L44" s="78" t="s">
        <v>662</v>
      </c>
      <c r="M44" s="78"/>
      <c r="N44" s="80" t="s">
        <v>1215</v>
      </c>
      <c r="O44" s="81"/>
      <c r="P44" s="80"/>
      <c r="S44" s="12"/>
      <c r="T44" s="12"/>
      <c r="U44" s="12"/>
      <c r="V44" s="12"/>
      <c r="W44" s="12"/>
    </row>
    <row r="45" spans="1:23">
      <c r="A45" s="29"/>
      <c r="B45" s="78" t="s">
        <v>1186</v>
      </c>
      <c r="C45" s="71" t="s">
        <v>1265</v>
      </c>
      <c r="D45" s="78" t="s">
        <v>47</v>
      </c>
      <c r="E45" s="79">
        <v>4</v>
      </c>
      <c r="F45" s="79"/>
      <c r="G45" s="78"/>
      <c r="H45" s="78"/>
      <c r="I45" s="79"/>
      <c r="J45" s="79"/>
      <c r="K45" s="79"/>
      <c r="L45" s="78" t="s">
        <v>683</v>
      </c>
      <c r="M45" s="78"/>
      <c r="N45" s="80" t="s">
        <v>1216</v>
      </c>
      <c r="O45" s="81"/>
      <c r="P45" s="80"/>
      <c r="S45" s="12"/>
      <c r="T45" s="12"/>
      <c r="U45" s="12"/>
      <c r="V45" s="12"/>
      <c r="W45" s="12"/>
    </row>
    <row r="46" spans="1:23">
      <c r="A46" s="29"/>
      <c r="B46" s="78" t="s">
        <v>1187</v>
      </c>
      <c r="C46" s="71" t="s">
        <v>1266</v>
      </c>
      <c r="D46" s="78" t="s">
        <v>47</v>
      </c>
      <c r="E46" s="79">
        <v>4</v>
      </c>
      <c r="F46" s="79"/>
      <c r="G46" s="78"/>
      <c r="H46" s="78"/>
      <c r="I46" s="79"/>
      <c r="J46" s="79"/>
      <c r="K46" s="79"/>
      <c r="L46" s="78" t="s">
        <v>683</v>
      </c>
      <c r="M46" s="78"/>
      <c r="N46" s="80" t="s">
        <v>1216</v>
      </c>
      <c r="O46" s="81"/>
      <c r="P46" s="80"/>
      <c r="S46" s="12"/>
      <c r="T46" s="12"/>
      <c r="U46" s="12"/>
      <c r="V46" s="12"/>
      <c r="W46" s="12"/>
    </row>
    <row r="47" spans="1:23">
      <c r="A47" s="29"/>
      <c r="B47" s="78" t="s">
        <v>1188</v>
      </c>
      <c r="C47" s="71" t="s">
        <v>1267</v>
      </c>
      <c r="D47" s="78" t="s">
        <v>47</v>
      </c>
      <c r="E47" s="79">
        <v>4</v>
      </c>
      <c r="F47" s="79"/>
      <c r="G47" s="78"/>
      <c r="H47" s="78"/>
      <c r="I47" s="79"/>
      <c r="J47" s="79"/>
      <c r="K47" s="79"/>
      <c r="L47" s="78" t="s">
        <v>683</v>
      </c>
      <c r="M47" s="78"/>
      <c r="N47" s="80" t="s">
        <v>1216</v>
      </c>
      <c r="O47" s="81"/>
      <c r="P47" s="80"/>
      <c r="S47" s="12"/>
      <c r="T47" s="12"/>
      <c r="U47" s="12"/>
      <c r="V47" s="12"/>
      <c r="W47" s="12"/>
    </row>
    <row r="48" spans="1:23">
      <c r="A48" s="29"/>
      <c r="B48" s="78" t="s">
        <v>1189</v>
      </c>
      <c r="C48" s="71" t="s">
        <v>1268</v>
      </c>
      <c r="D48" s="78" t="s">
        <v>47</v>
      </c>
      <c r="E48" s="79">
        <v>4</v>
      </c>
      <c r="F48" s="79"/>
      <c r="G48" s="78"/>
      <c r="H48" s="78"/>
      <c r="I48" s="79"/>
      <c r="J48" s="79"/>
      <c r="K48" s="79"/>
      <c r="L48" s="78" t="s">
        <v>683</v>
      </c>
      <c r="M48" s="78"/>
      <c r="N48" s="80" t="s">
        <v>1216</v>
      </c>
      <c r="O48" s="81"/>
      <c r="P48" s="80"/>
      <c r="S48" s="12"/>
      <c r="T48" s="12"/>
      <c r="U48" s="12"/>
      <c r="V48" s="12"/>
      <c r="W48" s="12"/>
    </row>
    <row r="49" spans="1:23">
      <c r="A49" s="29"/>
      <c r="B49" s="78" t="s">
        <v>1190</v>
      </c>
      <c r="C49" s="71" t="s">
        <v>1269</v>
      </c>
      <c r="D49" s="78" t="s">
        <v>47</v>
      </c>
      <c r="E49" s="79">
        <v>4</v>
      </c>
      <c r="F49" s="79"/>
      <c r="G49" s="78"/>
      <c r="H49" s="78"/>
      <c r="I49" s="79"/>
      <c r="J49" s="79"/>
      <c r="K49" s="79"/>
      <c r="L49" s="78" t="s">
        <v>683</v>
      </c>
      <c r="M49" s="78"/>
      <c r="N49" s="80" t="s">
        <v>1216</v>
      </c>
      <c r="O49" s="81"/>
      <c r="P49" s="80"/>
      <c r="S49" s="12"/>
      <c r="T49" s="12"/>
      <c r="U49" s="12"/>
      <c r="V49" s="12"/>
      <c r="W49" s="12"/>
    </row>
    <row r="50" spans="1:23">
      <c r="A50" s="29"/>
      <c r="B50" s="78" t="s">
        <v>1191</v>
      </c>
      <c r="C50" s="71" t="s">
        <v>1270</v>
      </c>
      <c r="D50" s="78" t="s">
        <v>47</v>
      </c>
      <c r="E50" s="79">
        <v>4</v>
      </c>
      <c r="F50" s="79"/>
      <c r="G50" s="78"/>
      <c r="H50" s="78"/>
      <c r="I50" s="79"/>
      <c r="J50" s="79"/>
      <c r="K50" s="79"/>
      <c r="L50" s="78" t="s">
        <v>683</v>
      </c>
      <c r="M50" s="78"/>
      <c r="N50" s="80" t="s">
        <v>1216</v>
      </c>
      <c r="O50" s="81"/>
      <c r="P50" s="80"/>
      <c r="S50" s="12"/>
      <c r="T50" s="12"/>
      <c r="U50" s="12"/>
      <c r="V50" s="12"/>
      <c r="W50" s="12"/>
    </row>
    <row r="51" spans="1:23">
      <c r="A51" s="29"/>
      <c r="B51" s="78" t="s">
        <v>1192</v>
      </c>
      <c r="C51" s="71" t="s">
        <v>1271</v>
      </c>
      <c r="D51" s="78" t="s">
        <v>47</v>
      </c>
      <c r="E51" s="79">
        <v>3</v>
      </c>
      <c r="F51" s="79"/>
      <c r="G51" s="78"/>
      <c r="H51" s="78"/>
      <c r="I51" s="79"/>
      <c r="J51" s="79"/>
      <c r="K51" s="79"/>
      <c r="L51" s="78" t="s">
        <v>697</v>
      </c>
      <c r="M51" s="78"/>
      <c r="N51" s="80" t="s">
        <v>1217</v>
      </c>
      <c r="O51" s="81"/>
      <c r="P51" s="80"/>
      <c r="S51" s="12"/>
      <c r="T51" s="12"/>
      <c r="U51" s="12"/>
      <c r="V51" s="12"/>
      <c r="W51" s="12"/>
    </row>
    <row r="52" spans="1:23">
      <c r="A52" s="29"/>
      <c r="B52" s="78" t="s">
        <v>1193</v>
      </c>
      <c r="C52" s="71" t="s">
        <v>1272</v>
      </c>
      <c r="D52" s="78" t="s">
        <v>47</v>
      </c>
      <c r="E52" s="79">
        <v>3</v>
      </c>
      <c r="F52" s="79"/>
      <c r="G52" s="78"/>
      <c r="H52" s="78"/>
      <c r="I52" s="79"/>
      <c r="J52" s="79"/>
      <c r="K52" s="79"/>
      <c r="L52" s="78" t="s">
        <v>697</v>
      </c>
      <c r="M52" s="78"/>
      <c r="N52" s="80" t="s">
        <v>1218</v>
      </c>
      <c r="O52" s="81"/>
      <c r="P52" s="80"/>
      <c r="S52" s="12"/>
      <c r="T52" s="12"/>
      <c r="U52" s="12"/>
      <c r="V52" s="12"/>
      <c r="W52" s="12"/>
    </row>
    <row r="53" spans="1:23">
      <c r="A53" s="29"/>
      <c r="B53" s="78" t="s">
        <v>1194</v>
      </c>
      <c r="C53" s="71" t="s">
        <v>1273</v>
      </c>
      <c r="D53" s="78" t="s">
        <v>47</v>
      </c>
      <c r="E53" s="79">
        <v>3</v>
      </c>
      <c r="F53" s="79"/>
      <c r="G53" s="78"/>
      <c r="H53" s="78"/>
      <c r="I53" s="79"/>
      <c r="J53" s="79"/>
      <c r="K53" s="79"/>
      <c r="L53" s="78" t="s">
        <v>697</v>
      </c>
      <c r="M53" s="78"/>
      <c r="N53" s="80" t="s">
        <v>1218</v>
      </c>
      <c r="O53" s="81"/>
      <c r="P53" s="80"/>
      <c r="S53" s="12"/>
      <c r="T53" s="12"/>
      <c r="U53" s="12"/>
      <c r="V53" s="12"/>
      <c r="W53" s="12"/>
    </row>
    <row r="54" spans="1:23">
      <c r="A54" s="29"/>
      <c r="B54" s="78" t="s">
        <v>1195</v>
      </c>
      <c r="C54" s="71" t="s">
        <v>1312</v>
      </c>
      <c r="D54" s="78" t="s">
        <v>47</v>
      </c>
      <c r="E54" s="79">
        <v>2</v>
      </c>
      <c r="F54" s="79"/>
      <c r="G54" s="78"/>
      <c r="H54" s="78"/>
      <c r="I54" s="79"/>
      <c r="J54" s="79"/>
      <c r="K54" s="79"/>
      <c r="L54" s="78" t="s">
        <v>700</v>
      </c>
      <c r="M54" s="78"/>
      <c r="N54" s="80" t="s">
        <v>1219</v>
      </c>
      <c r="O54" s="81"/>
      <c r="P54" s="80"/>
      <c r="S54" s="12"/>
      <c r="T54" s="12"/>
      <c r="U54" s="12"/>
      <c r="V54" s="12"/>
      <c r="W54" s="12"/>
    </row>
    <row r="55" spans="1:23">
      <c r="A55" s="29"/>
      <c r="B55" s="78" t="s">
        <v>1196</v>
      </c>
      <c r="C55" s="71" t="s">
        <v>1274</v>
      </c>
      <c r="D55" s="78" t="s">
        <v>47</v>
      </c>
      <c r="E55" s="79">
        <v>2</v>
      </c>
      <c r="F55" s="79"/>
      <c r="G55" s="78"/>
      <c r="H55" s="78"/>
      <c r="I55" s="79"/>
      <c r="J55" s="79"/>
      <c r="K55" s="79"/>
      <c r="L55" s="78" t="s">
        <v>700</v>
      </c>
      <c r="M55" s="78"/>
      <c r="N55" s="80" t="s">
        <v>1220</v>
      </c>
      <c r="O55" s="81"/>
      <c r="P55" s="80"/>
      <c r="S55" s="12"/>
      <c r="T55" s="12"/>
      <c r="U55" s="12"/>
      <c r="V55" s="12"/>
      <c r="W55" s="12"/>
    </row>
    <row r="56" spans="1:23">
      <c r="A56" s="29"/>
      <c r="B56" s="78" t="s">
        <v>1197</v>
      </c>
      <c r="C56" s="71" t="s">
        <v>1275</v>
      </c>
      <c r="D56" s="78" t="s">
        <v>47</v>
      </c>
      <c r="E56" s="79">
        <v>2</v>
      </c>
      <c r="F56" s="79"/>
      <c r="G56" s="78"/>
      <c r="H56" s="78"/>
      <c r="I56" s="79"/>
      <c r="J56" s="79"/>
      <c r="K56" s="79"/>
      <c r="L56" s="78" t="s">
        <v>700</v>
      </c>
      <c r="M56" s="78"/>
      <c r="N56" s="80" t="s">
        <v>1221</v>
      </c>
      <c r="O56" s="81"/>
      <c r="P56" s="80"/>
      <c r="S56" s="12"/>
      <c r="T56" s="12"/>
      <c r="U56" s="12"/>
      <c r="V56" s="12"/>
      <c r="W56" s="12"/>
    </row>
    <row r="57" spans="1:23">
      <c r="A57" s="29"/>
      <c r="B57" s="78" t="s">
        <v>1198</v>
      </c>
      <c r="C57" s="71" t="s">
        <v>1276</v>
      </c>
      <c r="D57" s="78" t="s">
        <v>47</v>
      </c>
      <c r="E57" s="79">
        <v>2</v>
      </c>
      <c r="F57" s="79"/>
      <c r="G57" s="78"/>
      <c r="H57" s="78"/>
      <c r="I57" s="79"/>
      <c r="J57" s="79"/>
      <c r="K57" s="79"/>
      <c r="L57" s="78" t="s">
        <v>700</v>
      </c>
      <c r="M57" s="78"/>
      <c r="N57" s="80" t="s">
        <v>1222</v>
      </c>
      <c r="O57" s="81"/>
      <c r="P57" s="80"/>
      <c r="S57" s="12"/>
      <c r="T57" s="12"/>
      <c r="U57" s="12"/>
      <c r="V57" s="12"/>
      <c r="W57" s="12"/>
    </row>
    <row r="58" spans="1:23">
      <c r="A58" s="29"/>
      <c r="B58" s="78" t="s">
        <v>1199</v>
      </c>
      <c r="C58" s="71" t="s">
        <v>1277</v>
      </c>
      <c r="D58" s="78" t="s">
        <v>47</v>
      </c>
      <c r="E58" s="79">
        <v>2</v>
      </c>
      <c r="F58" s="79"/>
      <c r="G58" s="78"/>
      <c r="H58" s="78"/>
      <c r="I58" s="79"/>
      <c r="J58" s="79"/>
      <c r="K58" s="79"/>
      <c r="L58" s="78" t="s">
        <v>700</v>
      </c>
      <c r="M58" s="78"/>
      <c r="N58" s="80" t="s">
        <v>1223</v>
      </c>
      <c r="O58" s="81"/>
      <c r="P58" s="80"/>
      <c r="S58" s="12"/>
      <c r="T58" s="12"/>
      <c r="U58" s="12"/>
      <c r="V58" s="12"/>
      <c r="W58" s="12"/>
    </row>
    <row r="59" spans="1:23">
      <c r="A59" s="29"/>
      <c r="B59" s="78" t="s">
        <v>1200</v>
      </c>
      <c r="C59" s="71" t="s">
        <v>1278</v>
      </c>
      <c r="D59" s="78" t="s">
        <v>47</v>
      </c>
      <c r="E59" s="79">
        <v>100</v>
      </c>
      <c r="F59" s="79"/>
      <c r="G59" s="78"/>
      <c r="H59" s="78"/>
      <c r="I59" s="79"/>
      <c r="J59" s="79"/>
      <c r="K59" s="79"/>
      <c r="L59" s="78" t="s">
        <v>254</v>
      </c>
      <c r="M59" s="78"/>
      <c r="N59" s="80"/>
      <c r="O59" s="81"/>
      <c r="P59" s="80"/>
      <c r="S59" s="12"/>
      <c r="T59" s="12"/>
      <c r="U59" s="12"/>
      <c r="V59" s="12"/>
      <c r="W59" s="12"/>
    </row>
    <row r="60" spans="1:23">
      <c r="A60" s="29"/>
      <c r="B60" s="78" t="s">
        <v>1201</v>
      </c>
      <c r="C60" s="71" t="s">
        <v>1279</v>
      </c>
      <c r="D60" s="78" t="s">
        <v>47</v>
      </c>
      <c r="E60" s="79">
        <v>500</v>
      </c>
      <c r="F60" s="79"/>
      <c r="G60" s="78"/>
      <c r="H60" s="78"/>
      <c r="I60" s="79"/>
      <c r="J60" s="79"/>
      <c r="K60" s="79"/>
      <c r="L60" s="78" t="s">
        <v>1210</v>
      </c>
      <c r="M60" s="78"/>
      <c r="N60" s="80"/>
      <c r="O60" s="81"/>
      <c r="P60" s="80"/>
      <c r="S60" s="12"/>
      <c r="T60" s="12"/>
      <c r="U60" s="12"/>
      <c r="V60" s="12"/>
      <c r="W60" s="12"/>
    </row>
    <row r="61" spans="1:23">
      <c r="A61" s="29"/>
      <c r="B61" s="78" t="s">
        <v>1202</v>
      </c>
      <c r="C61" s="71" t="s">
        <v>1280</v>
      </c>
      <c r="D61" s="78" t="s">
        <v>47</v>
      </c>
      <c r="E61" s="79">
        <v>500</v>
      </c>
      <c r="F61" s="79"/>
      <c r="G61" s="78"/>
      <c r="H61" s="78"/>
      <c r="I61" s="79"/>
      <c r="J61" s="79"/>
      <c r="K61" s="79"/>
      <c r="L61" s="78" t="s">
        <v>1210</v>
      </c>
      <c r="M61" s="78"/>
      <c r="N61" s="80" t="s">
        <v>1508</v>
      </c>
      <c r="O61" s="81"/>
      <c r="P61" s="80"/>
      <c r="S61" s="12"/>
      <c r="T61" s="12"/>
      <c r="U61" s="12"/>
      <c r="V61" s="12"/>
      <c r="W61" s="12"/>
    </row>
    <row r="62" spans="1:23">
      <c r="A62" s="29"/>
      <c r="B62" s="78" t="s">
        <v>1505</v>
      </c>
      <c r="C62" s="71" t="s">
        <v>1506</v>
      </c>
      <c r="D62" s="78" t="s">
        <v>47</v>
      </c>
      <c r="E62" s="79">
        <v>1</v>
      </c>
      <c r="F62" s="79"/>
      <c r="G62" s="78"/>
      <c r="H62" s="78"/>
      <c r="I62" s="79"/>
      <c r="J62" s="79"/>
      <c r="K62" s="79"/>
      <c r="L62" s="78" t="s">
        <v>1507</v>
      </c>
      <c r="M62" s="78"/>
      <c r="N62" s="80"/>
      <c r="O62" s="81"/>
      <c r="P62" s="80"/>
      <c r="S62" s="12"/>
      <c r="T62" s="12"/>
      <c r="U62" s="12"/>
      <c r="V62" s="12"/>
      <c r="W62" s="12"/>
    </row>
    <row r="63" spans="1:23">
      <c r="A63" s="29"/>
      <c r="B63" s="78" t="s">
        <v>1103</v>
      </c>
      <c r="C63" s="71" t="s">
        <v>1281</v>
      </c>
      <c r="D63" s="78" t="s">
        <v>47</v>
      </c>
      <c r="E63" s="79">
        <v>2</v>
      </c>
      <c r="F63" s="79"/>
      <c r="G63" s="78"/>
      <c r="H63" s="78"/>
      <c r="I63" s="79"/>
      <c r="J63" s="79"/>
      <c r="K63" s="79"/>
      <c r="L63" s="78" t="s">
        <v>700</v>
      </c>
      <c r="M63" s="78"/>
      <c r="N63" s="80"/>
      <c r="O63" s="81"/>
      <c r="P63" s="80"/>
      <c r="S63" s="12"/>
      <c r="T63" s="12"/>
      <c r="U63" s="12"/>
      <c r="V63" s="12"/>
      <c r="W63" s="12"/>
    </row>
    <row r="64" spans="1:23">
      <c r="A64" s="29"/>
      <c r="B64" s="78" t="s">
        <v>1104</v>
      </c>
      <c r="C64" s="71" t="s">
        <v>1282</v>
      </c>
      <c r="D64" s="78" t="s">
        <v>47</v>
      </c>
      <c r="E64" s="79">
        <v>2</v>
      </c>
      <c r="F64" s="79"/>
      <c r="G64" s="78"/>
      <c r="H64" s="78"/>
      <c r="I64" s="79"/>
      <c r="J64" s="79"/>
      <c r="K64" s="79"/>
      <c r="L64" s="78" t="s">
        <v>700</v>
      </c>
      <c r="M64" s="78"/>
      <c r="N64" s="80"/>
      <c r="O64" s="81"/>
      <c r="P64" s="80"/>
      <c r="S64" s="12"/>
      <c r="T64" s="12"/>
      <c r="U64" s="12"/>
      <c r="V64" s="12"/>
      <c r="W64" s="12"/>
    </row>
    <row r="65" spans="1:23">
      <c r="A65" s="29"/>
      <c r="B65" s="78" t="s">
        <v>1105</v>
      </c>
      <c r="C65" s="71" t="s">
        <v>1283</v>
      </c>
      <c r="D65" s="78" t="s">
        <v>47</v>
      </c>
      <c r="E65" s="79">
        <v>2</v>
      </c>
      <c r="F65" s="79"/>
      <c r="G65" s="78"/>
      <c r="H65" s="78"/>
      <c r="I65" s="79"/>
      <c r="J65" s="79"/>
      <c r="K65" s="79"/>
      <c r="L65" s="78" t="s">
        <v>700</v>
      </c>
      <c r="M65" s="78"/>
      <c r="N65" s="80"/>
      <c r="O65" s="81"/>
      <c r="P65" s="80"/>
      <c r="S65" s="12"/>
      <c r="T65" s="12"/>
      <c r="U65" s="12"/>
      <c r="V65" s="12"/>
      <c r="W65" s="12"/>
    </row>
    <row r="66" spans="1:23">
      <c r="A66" s="29"/>
      <c r="B66" s="78" t="s">
        <v>1106</v>
      </c>
      <c r="C66" s="71" t="s">
        <v>1284</v>
      </c>
      <c r="D66" s="78" t="s">
        <v>47</v>
      </c>
      <c r="E66" s="79">
        <v>2</v>
      </c>
      <c r="F66" s="79"/>
      <c r="G66" s="78"/>
      <c r="H66" s="78"/>
      <c r="I66" s="79"/>
      <c r="J66" s="79"/>
      <c r="K66" s="79"/>
      <c r="L66" s="78" t="s">
        <v>700</v>
      </c>
      <c r="M66" s="78"/>
      <c r="N66" s="80"/>
      <c r="O66" s="81"/>
      <c r="P66" s="80"/>
      <c r="S66" s="12"/>
      <c r="T66" s="12"/>
      <c r="U66" s="12"/>
      <c r="V66" s="12"/>
      <c r="W66" s="12"/>
    </row>
    <row r="67" spans="1:23">
      <c r="A67" s="29"/>
      <c r="B67" s="78" t="s">
        <v>1107</v>
      </c>
      <c r="C67" s="71" t="s">
        <v>1285</v>
      </c>
      <c r="D67" s="78" t="s">
        <v>47</v>
      </c>
      <c r="E67" s="79">
        <v>2</v>
      </c>
      <c r="F67" s="79"/>
      <c r="G67" s="78"/>
      <c r="H67" s="78"/>
      <c r="I67" s="79"/>
      <c r="J67" s="79"/>
      <c r="K67" s="79"/>
      <c r="L67" s="78" t="s">
        <v>700</v>
      </c>
      <c r="M67" s="78"/>
      <c r="N67" s="80"/>
      <c r="O67" s="81"/>
      <c r="P67" s="80"/>
      <c r="S67" s="12"/>
      <c r="T67" s="12"/>
      <c r="U67" s="12"/>
      <c r="V67" s="12"/>
      <c r="W67" s="12"/>
    </row>
    <row r="68" spans="1:23">
      <c r="A68" s="29"/>
      <c r="B68" s="78" t="s">
        <v>1108</v>
      </c>
      <c r="C68" s="71" t="s">
        <v>1286</v>
      </c>
      <c r="D68" s="78" t="s">
        <v>47</v>
      </c>
      <c r="E68" s="79">
        <v>2</v>
      </c>
      <c r="F68" s="79"/>
      <c r="G68" s="78"/>
      <c r="H68" s="78"/>
      <c r="I68" s="79"/>
      <c r="J68" s="79"/>
      <c r="K68" s="79"/>
      <c r="L68" s="78" t="s">
        <v>700</v>
      </c>
      <c r="M68" s="78"/>
      <c r="N68" s="80"/>
      <c r="O68" s="81"/>
      <c r="P68" s="80"/>
      <c r="S68" s="12"/>
      <c r="T68" s="12"/>
      <c r="U68" s="12"/>
      <c r="V68" s="12"/>
      <c r="W68" s="12"/>
    </row>
    <row r="69" spans="1:23">
      <c r="A69" s="29"/>
      <c r="B69" s="78" t="s">
        <v>1109</v>
      </c>
      <c r="C69" s="71" t="s">
        <v>1287</v>
      </c>
      <c r="D69" s="78" t="s">
        <v>47</v>
      </c>
      <c r="E69" s="79">
        <v>2</v>
      </c>
      <c r="F69" s="79"/>
      <c r="G69" s="78"/>
      <c r="H69" s="78"/>
      <c r="I69" s="79"/>
      <c r="J69" s="79"/>
      <c r="K69" s="79"/>
      <c r="L69" s="78" t="s">
        <v>700</v>
      </c>
      <c r="M69" s="78"/>
      <c r="N69" s="80"/>
      <c r="O69" s="81"/>
      <c r="P69" s="80"/>
      <c r="S69" s="12"/>
      <c r="T69" s="12"/>
      <c r="U69" s="12"/>
      <c r="V69" s="12"/>
      <c r="W69" s="12"/>
    </row>
    <row r="70" spans="1:23">
      <c r="A70" s="29"/>
      <c r="B70" s="78" t="s">
        <v>1110</v>
      </c>
      <c r="C70" s="71" t="s">
        <v>1288</v>
      </c>
      <c r="D70" s="78" t="s">
        <v>47</v>
      </c>
      <c r="E70" s="79">
        <v>2</v>
      </c>
      <c r="F70" s="79"/>
      <c r="G70" s="78"/>
      <c r="H70" s="78"/>
      <c r="I70" s="79"/>
      <c r="J70" s="79"/>
      <c r="K70" s="79"/>
      <c r="L70" s="78" t="s">
        <v>700</v>
      </c>
      <c r="M70" s="78"/>
      <c r="N70" s="80"/>
      <c r="O70" s="81"/>
      <c r="P70" s="80"/>
      <c r="S70" s="12"/>
      <c r="T70" s="12"/>
      <c r="U70" s="12"/>
      <c r="V70" s="12"/>
      <c r="W70" s="12"/>
    </row>
    <row r="71" spans="1:23">
      <c r="A71" s="29"/>
      <c r="B71" s="78" t="s">
        <v>1111</v>
      </c>
      <c r="C71" s="71" t="s">
        <v>1289</v>
      </c>
      <c r="D71" s="78" t="s">
        <v>47</v>
      </c>
      <c r="E71" s="79">
        <v>2</v>
      </c>
      <c r="F71" s="79"/>
      <c r="G71" s="78"/>
      <c r="H71" s="78"/>
      <c r="I71" s="79"/>
      <c r="J71" s="79"/>
      <c r="K71" s="79"/>
      <c r="L71" s="78" t="s">
        <v>700</v>
      </c>
      <c r="M71" s="78"/>
      <c r="N71" s="80"/>
      <c r="O71" s="81"/>
      <c r="P71" s="80"/>
      <c r="S71" s="12"/>
      <c r="T71" s="12"/>
      <c r="U71" s="12"/>
      <c r="V71" s="12"/>
      <c r="W71" s="12"/>
    </row>
    <row r="72" spans="1:23">
      <c r="A72" s="29"/>
      <c r="B72" s="78" t="s">
        <v>1112</v>
      </c>
      <c r="C72" s="71" t="s">
        <v>1290</v>
      </c>
      <c r="D72" s="78" t="s">
        <v>47</v>
      </c>
      <c r="E72" s="79">
        <v>2</v>
      </c>
      <c r="F72" s="79"/>
      <c r="G72" s="78"/>
      <c r="H72" s="78"/>
      <c r="I72" s="79"/>
      <c r="J72" s="79"/>
      <c r="K72" s="79"/>
      <c r="L72" s="78" t="s">
        <v>700</v>
      </c>
      <c r="M72" s="78"/>
      <c r="N72" s="80"/>
      <c r="O72" s="81"/>
      <c r="P72" s="80"/>
      <c r="S72" s="12"/>
      <c r="T72" s="12"/>
      <c r="U72" s="12"/>
      <c r="V72" s="12"/>
      <c r="W72" s="12"/>
    </row>
    <row r="73" spans="1:23">
      <c r="A73" s="29"/>
      <c r="B73" s="78" t="s">
        <v>1113</v>
      </c>
      <c r="C73" s="71" t="s">
        <v>1291</v>
      </c>
      <c r="D73" s="78" t="s">
        <v>47</v>
      </c>
      <c r="E73" s="79">
        <v>15</v>
      </c>
      <c r="F73" s="79"/>
      <c r="G73" s="78"/>
      <c r="H73" s="78"/>
      <c r="I73" s="79"/>
      <c r="J73" s="79"/>
      <c r="K73" s="79"/>
      <c r="L73" s="78" t="s">
        <v>715</v>
      </c>
      <c r="M73" s="78"/>
      <c r="N73" s="80"/>
      <c r="O73" s="81"/>
      <c r="P73" s="80"/>
      <c r="S73" s="12"/>
      <c r="T73" s="12"/>
      <c r="U73" s="12"/>
      <c r="V73" s="12"/>
      <c r="W73" s="12"/>
    </row>
    <row r="74" spans="1:23">
      <c r="A74" s="29"/>
      <c r="B74" s="78" t="s">
        <v>1114</v>
      </c>
      <c r="C74" s="71" t="s">
        <v>1293</v>
      </c>
      <c r="D74" s="78" t="s">
        <v>47</v>
      </c>
      <c r="E74" s="79">
        <v>15</v>
      </c>
      <c r="F74" s="79"/>
      <c r="G74" s="78"/>
      <c r="H74" s="78"/>
      <c r="I74" s="79"/>
      <c r="J74" s="79"/>
      <c r="K74" s="79"/>
      <c r="L74" s="78" t="s">
        <v>715</v>
      </c>
      <c r="M74" s="78"/>
      <c r="N74" s="80"/>
      <c r="O74" s="81"/>
      <c r="P74" s="80"/>
      <c r="S74" s="12"/>
      <c r="T74" s="12"/>
      <c r="U74" s="12"/>
      <c r="V74" s="12"/>
      <c r="W74" s="12"/>
    </row>
    <row r="75" spans="1:23">
      <c r="A75" s="29"/>
      <c r="B75" s="78" t="s">
        <v>1115</v>
      </c>
      <c r="C75" s="71" t="s">
        <v>1294</v>
      </c>
      <c r="D75" s="78" t="s">
        <v>47</v>
      </c>
      <c r="E75" s="79">
        <v>15</v>
      </c>
      <c r="F75" s="79"/>
      <c r="G75" s="78"/>
      <c r="H75" s="78"/>
      <c r="I75" s="79"/>
      <c r="J75" s="79"/>
      <c r="K75" s="79"/>
      <c r="L75" s="78" t="s">
        <v>715</v>
      </c>
      <c r="M75" s="78"/>
      <c r="N75" s="80"/>
      <c r="O75" s="81"/>
      <c r="P75" s="80"/>
      <c r="S75" s="12"/>
      <c r="T75" s="12"/>
      <c r="U75" s="12"/>
      <c r="V75" s="12"/>
      <c r="W75" s="12"/>
    </row>
    <row r="76" spans="1:23">
      <c r="A76" s="29"/>
      <c r="B76" s="78" t="s">
        <v>1116</v>
      </c>
      <c r="C76" s="71" t="s">
        <v>1295</v>
      </c>
      <c r="D76" s="78" t="s">
        <v>47</v>
      </c>
      <c r="E76" s="79">
        <v>15</v>
      </c>
      <c r="F76" s="79"/>
      <c r="G76" s="78"/>
      <c r="H76" s="78"/>
      <c r="I76" s="79"/>
      <c r="J76" s="79"/>
      <c r="K76" s="79"/>
      <c r="L76" s="78" t="s">
        <v>715</v>
      </c>
      <c r="M76" s="78"/>
      <c r="N76" s="80"/>
      <c r="O76" s="81"/>
      <c r="P76" s="80"/>
      <c r="S76" s="12"/>
      <c r="T76" s="12"/>
      <c r="U76" s="12"/>
      <c r="V76" s="12"/>
      <c r="W76" s="12"/>
    </row>
    <row r="77" spans="1:23">
      <c r="A77" s="29"/>
      <c r="B77" s="78" t="s">
        <v>1117</v>
      </c>
      <c r="C77" s="71" t="s">
        <v>1296</v>
      </c>
      <c r="D77" s="78" t="s">
        <v>47</v>
      </c>
      <c r="E77" s="79">
        <v>15</v>
      </c>
      <c r="F77" s="79"/>
      <c r="G77" s="78"/>
      <c r="H77" s="78"/>
      <c r="I77" s="79"/>
      <c r="J77" s="79"/>
      <c r="K77" s="79"/>
      <c r="L77" s="78" t="s">
        <v>715</v>
      </c>
      <c r="M77" s="78"/>
      <c r="N77" s="80"/>
      <c r="O77" s="81"/>
      <c r="P77" s="80"/>
      <c r="S77" s="12"/>
      <c r="T77" s="12"/>
      <c r="U77" s="12"/>
      <c r="V77" s="12"/>
      <c r="W77" s="12"/>
    </row>
    <row r="78" spans="1:23">
      <c r="A78" s="29"/>
      <c r="B78" s="78" t="s">
        <v>1118</v>
      </c>
      <c r="C78" s="71" t="s">
        <v>1297</v>
      </c>
      <c r="D78" s="78" t="s">
        <v>47</v>
      </c>
      <c r="E78" s="79">
        <v>100</v>
      </c>
      <c r="F78" s="79"/>
      <c r="G78" s="78"/>
      <c r="H78" s="78"/>
      <c r="I78" s="79"/>
      <c r="J78" s="79"/>
      <c r="K78" s="79"/>
      <c r="L78" s="78" t="s">
        <v>254</v>
      </c>
      <c r="M78" s="78"/>
      <c r="N78" s="80"/>
      <c r="O78" s="81"/>
      <c r="P78" s="80"/>
      <c r="S78" s="12"/>
      <c r="T78" s="12"/>
      <c r="U78" s="12"/>
      <c r="V78" s="12"/>
      <c r="W78" s="12"/>
    </row>
    <row r="79" spans="1:23">
      <c r="A79" s="29"/>
      <c r="B79" s="78" t="s">
        <v>1119</v>
      </c>
      <c r="C79" s="71" t="s">
        <v>1298</v>
      </c>
      <c r="D79" s="78" t="s">
        <v>47</v>
      </c>
      <c r="E79" s="79">
        <v>100</v>
      </c>
      <c r="F79" s="79"/>
      <c r="G79" s="78"/>
      <c r="H79" s="78"/>
      <c r="I79" s="79"/>
      <c r="J79" s="79"/>
      <c r="K79" s="79"/>
      <c r="L79" s="78" t="s">
        <v>254</v>
      </c>
      <c r="M79" s="78"/>
      <c r="N79" s="80"/>
      <c r="O79" s="81"/>
      <c r="P79" s="80"/>
      <c r="S79" s="12"/>
      <c r="T79" s="12"/>
      <c r="U79" s="12"/>
      <c r="V79" s="12"/>
      <c r="W79" s="12"/>
    </row>
    <row r="80" spans="1:23">
      <c r="A80" s="29"/>
      <c r="B80" s="78" t="s">
        <v>1120</v>
      </c>
      <c r="C80" s="71" t="s">
        <v>1299</v>
      </c>
      <c r="D80" s="78" t="s">
        <v>47</v>
      </c>
      <c r="E80" s="79">
        <v>100</v>
      </c>
      <c r="F80" s="79"/>
      <c r="G80" s="78"/>
      <c r="H80" s="78"/>
      <c r="I80" s="79"/>
      <c r="J80" s="79"/>
      <c r="K80" s="79"/>
      <c r="L80" s="78" t="s">
        <v>254</v>
      </c>
      <c r="M80" s="78"/>
      <c r="N80" s="80"/>
      <c r="O80" s="81"/>
      <c r="P80" s="80"/>
      <c r="S80" s="12"/>
      <c r="T80" s="12"/>
      <c r="U80" s="12"/>
      <c r="V80" s="12"/>
      <c r="W80" s="12"/>
    </row>
    <row r="81" spans="1:23">
      <c r="A81" s="29"/>
      <c r="B81" s="78" t="s">
        <v>1121</v>
      </c>
      <c r="C81" s="71" t="s">
        <v>1292</v>
      </c>
      <c r="D81" s="78" t="s">
        <v>47</v>
      </c>
      <c r="E81" s="79">
        <v>100</v>
      </c>
      <c r="F81" s="79"/>
      <c r="G81" s="78"/>
      <c r="H81" s="78"/>
      <c r="I81" s="79"/>
      <c r="J81" s="79"/>
      <c r="K81" s="79"/>
      <c r="L81" s="78" t="s">
        <v>254</v>
      </c>
      <c r="M81" s="78"/>
      <c r="N81" s="80"/>
      <c r="O81" s="81"/>
      <c r="P81" s="80"/>
      <c r="S81" s="12"/>
      <c r="T81" s="12"/>
      <c r="U81" s="12"/>
      <c r="V81" s="12"/>
      <c r="W81" s="12"/>
    </row>
    <row r="82" spans="1:23">
      <c r="A82" s="29"/>
      <c r="B82" s="78" t="s">
        <v>1122</v>
      </c>
      <c r="C82" s="71" t="s">
        <v>1300</v>
      </c>
      <c r="D82" s="78" t="s">
        <v>47</v>
      </c>
      <c r="E82" s="79">
        <v>100</v>
      </c>
      <c r="F82" s="79"/>
      <c r="G82" s="78"/>
      <c r="H82" s="78"/>
      <c r="I82" s="79"/>
      <c r="J82" s="79"/>
      <c r="K82" s="79"/>
      <c r="L82" s="78" t="s">
        <v>254</v>
      </c>
      <c r="M82" s="78"/>
      <c r="N82" s="80"/>
      <c r="O82" s="81"/>
      <c r="P82" s="80"/>
      <c r="S82" s="12"/>
      <c r="T82" s="12"/>
      <c r="U82" s="12"/>
      <c r="V82" s="12"/>
      <c r="W82" s="12"/>
    </row>
    <row r="83" spans="1:23">
      <c r="A83" s="29"/>
      <c r="B83" s="78" t="s">
        <v>1123</v>
      </c>
      <c r="C83" s="71" t="s">
        <v>1301</v>
      </c>
      <c r="D83" s="78" t="s">
        <v>47</v>
      </c>
      <c r="E83" s="79">
        <v>9</v>
      </c>
      <c r="F83" s="79"/>
      <c r="G83" s="78"/>
      <c r="H83" s="78"/>
      <c r="I83" s="79"/>
      <c r="J83" s="79"/>
      <c r="K83" s="79"/>
      <c r="L83" s="78" t="s">
        <v>1208</v>
      </c>
      <c r="M83" s="78"/>
      <c r="N83" s="80"/>
      <c r="O83" s="81"/>
      <c r="P83" s="80"/>
      <c r="S83" s="12"/>
      <c r="T83" s="12"/>
      <c r="U83" s="12"/>
      <c r="V83" s="12"/>
      <c r="W83" s="12"/>
    </row>
    <row r="84" spans="1:23">
      <c r="A84" s="29"/>
      <c r="B84" s="78" t="s">
        <v>1124</v>
      </c>
      <c r="C84" s="71" t="s">
        <v>1302</v>
      </c>
      <c r="D84" s="78" t="s">
        <v>47</v>
      </c>
      <c r="E84" s="79">
        <v>9</v>
      </c>
      <c r="F84" s="79"/>
      <c r="G84" s="78"/>
      <c r="H84" s="78"/>
      <c r="I84" s="79"/>
      <c r="J84" s="79"/>
      <c r="K84" s="79"/>
      <c r="L84" s="78" t="s">
        <v>1208</v>
      </c>
      <c r="M84" s="78"/>
      <c r="N84" s="80"/>
      <c r="O84" s="81"/>
      <c r="P84" s="80"/>
      <c r="S84" s="12"/>
      <c r="T84" s="12"/>
      <c r="U84" s="12"/>
      <c r="V84" s="12"/>
      <c r="W84" s="12"/>
    </row>
    <row r="85" spans="1:23">
      <c r="A85" s="29"/>
      <c r="B85" s="78" t="s">
        <v>1125</v>
      </c>
      <c r="C85" s="71" t="s">
        <v>1303</v>
      </c>
      <c r="D85" s="78" t="s">
        <v>47</v>
      </c>
      <c r="E85" s="79">
        <v>9</v>
      </c>
      <c r="F85" s="79"/>
      <c r="G85" s="78"/>
      <c r="H85" s="78"/>
      <c r="I85" s="79"/>
      <c r="J85" s="79"/>
      <c r="K85" s="79"/>
      <c r="L85" s="78" t="s">
        <v>1208</v>
      </c>
      <c r="M85" s="78"/>
      <c r="N85" s="80"/>
      <c r="O85" s="81"/>
      <c r="P85" s="80"/>
      <c r="S85" s="12"/>
      <c r="T85" s="12"/>
      <c r="U85" s="12"/>
      <c r="V85" s="12"/>
      <c r="W85" s="12"/>
    </row>
    <row r="86" spans="1:23">
      <c r="A86" s="29"/>
      <c r="B86" s="78" t="s">
        <v>1126</v>
      </c>
      <c r="C86" s="71" t="s">
        <v>1304</v>
      </c>
      <c r="D86" s="78" t="s">
        <v>47</v>
      </c>
      <c r="E86" s="79">
        <v>9</v>
      </c>
      <c r="F86" s="79"/>
      <c r="G86" s="78"/>
      <c r="H86" s="78"/>
      <c r="I86" s="79"/>
      <c r="J86" s="79"/>
      <c r="K86" s="79"/>
      <c r="L86" s="78" t="s">
        <v>1208</v>
      </c>
      <c r="M86" s="78"/>
      <c r="N86" s="80"/>
      <c r="O86" s="81"/>
      <c r="P86" s="80"/>
      <c r="S86" s="12"/>
      <c r="T86" s="12"/>
      <c r="U86" s="12"/>
      <c r="V86" s="12"/>
      <c r="W86" s="12"/>
    </row>
    <row r="87" spans="1:23">
      <c r="A87" s="29"/>
      <c r="B87" s="78" t="s">
        <v>1127</v>
      </c>
      <c r="C87" s="71" t="s">
        <v>1305</v>
      </c>
      <c r="D87" s="78" t="s">
        <v>47</v>
      </c>
      <c r="E87" s="79">
        <v>9</v>
      </c>
      <c r="F87" s="79"/>
      <c r="G87" s="78"/>
      <c r="H87" s="78"/>
      <c r="I87" s="79"/>
      <c r="J87" s="79"/>
      <c r="K87" s="79"/>
      <c r="L87" s="78" t="s">
        <v>1208</v>
      </c>
      <c r="M87" s="78"/>
      <c r="N87" s="80"/>
      <c r="O87" s="81"/>
      <c r="P87" s="80"/>
      <c r="S87" s="12"/>
      <c r="T87" s="12"/>
      <c r="U87" s="12"/>
      <c r="V87" s="12"/>
      <c r="W87" s="12"/>
    </row>
    <row r="88" spans="1:23">
      <c r="A88" s="29"/>
      <c r="B88" s="78" t="s">
        <v>1128</v>
      </c>
      <c r="C88" s="71" t="s">
        <v>1306</v>
      </c>
      <c r="D88" s="78" t="s">
        <v>47</v>
      </c>
      <c r="E88" s="79">
        <v>9</v>
      </c>
      <c r="F88" s="79"/>
      <c r="G88" s="78"/>
      <c r="H88" s="78"/>
      <c r="I88" s="79"/>
      <c r="J88" s="79"/>
      <c r="K88" s="79"/>
      <c r="L88" s="78" t="s">
        <v>1208</v>
      </c>
      <c r="M88" s="78"/>
      <c r="N88" s="80"/>
      <c r="O88" s="81"/>
      <c r="P88" s="80"/>
      <c r="S88" s="12"/>
      <c r="T88" s="12"/>
      <c r="U88" s="12"/>
      <c r="V88" s="12"/>
      <c r="W88" s="12"/>
    </row>
    <row r="89" spans="1:23">
      <c r="A89" s="29"/>
      <c r="B89" s="78" t="s">
        <v>1129</v>
      </c>
      <c r="C89" s="71" t="s">
        <v>1307</v>
      </c>
      <c r="D89" s="78" t="s">
        <v>47</v>
      </c>
      <c r="E89" s="79">
        <v>9</v>
      </c>
      <c r="F89" s="79"/>
      <c r="G89" s="78"/>
      <c r="H89" s="78"/>
      <c r="I89" s="79"/>
      <c r="J89" s="79"/>
      <c r="K89" s="79"/>
      <c r="L89" s="78" t="s">
        <v>1208</v>
      </c>
      <c r="M89" s="78"/>
      <c r="N89" s="80"/>
      <c r="O89" s="81"/>
      <c r="P89" s="80"/>
      <c r="S89" s="12"/>
      <c r="T89" s="12"/>
      <c r="U89" s="12"/>
      <c r="V89" s="12"/>
      <c r="W89" s="12"/>
    </row>
    <row r="90" spans="1:23">
      <c r="A90" s="29"/>
      <c r="B90" s="78" t="s">
        <v>1130</v>
      </c>
      <c r="C90" s="71" t="s">
        <v>1308</v>
      </c>
      <c r="D90" s="78" t="s">
        <v>47</v>
      </c>
      <c r="E90" s="79">
        <v>9</v>
      </c>
      <c r="F90" s="79"/>
      <c r="G90" s="78"/>
      <c r="H90" s="78"/>
      <c r="I90" s="79"/>
      <c r="J90" s="79"/>
      <c r="K90" s="79"/>
      <c r="L90" s="78" t="s">
        <v>1208</v>
      </c>
      <c r="M90" s="78"/>
      <c r="N90" s="80"/>
      <c r="O90" s="81"/>
      <c r="P90" s="80"/>
      <c r="S90" s="12"/>
      <c r="T90" s="12"/>
      <c r="U90" s="12"/>
      <c r="V90" s="12"/>
      <c r="W90" s="12"/>
    </row>
    <row r="91" spans="1:23">
      <c r="A91" s="29"/>
      <c r="B91" s="78" t="s">
        <v>1131</v>
      </c>
      <c r="C91" s="71" t="s">
        <v>1309</v>
      </c>
      <c r="D91" s="78" t="s">
        <v>47</v>
      </c>
      <c r="E91" s="79">
        <v>9</v>
      </c>
      <c r="F91" s="79"/>
      <c r="G91" s="78"/>
      <c r="H91" s="78"/>
      <c r="I91" s="79"/>
      <c r="J91" s="79"/>
      <c r="K91" s="79"/>
      <c r="L91" s="78" t="s">
        <v>1208</v>
      </c>
      <c r="M91" s="78"/>
      <c r="N91" s="80"/>
      <c r="O91" s="81"/>
      <c r="P91" s="80"/>
      <c r="S91" s="12"/>
      <c r="T91" s="12"/>
      <c r="U91" s="12"/>
      <c r="V91" s="12"/>
      <c r="W91" s="12"/>
    </row>
    <row r="92" spans="1:23">
      <c r="A92" s="29"/>
      <c r="B92" s="78" t="s">
        <v>1132</v>
      </c>
      <c r="C92" s="71" t="s">
        <v>1310</v>
      </c>
      <c r="D92" s="78" t="s">
        <v>47</v>
      </c>
      <c r="E92" s="79">
        <v>9</v>
      </c>
      <c r="F92" s="79"/>
      <c r="G92" s="78"/>
      <c r="H92" s="78"/>
      <c r="I92" s="79"/>
      <c r="J92" s="79"/>
      <c r="K92" s="79"/>
      <c r="L92" s="78" t="s">
        <v>1208</v>
      </c>
      <c r="M92" s="78"/>
      <c r="N92" s="80"/>
      <c r="O92" s="81"/>
      <c r="P92" s="80"/>
      <c r="S92" s="12"/>
      <c r="T92" s="12"/>
      <c r="U92" s="12"/>
      <c r="V92" s="12"/>
      <c r="W92" s="12"/>
    </row>
    <row r="93" spans="1:23">
      <c r="A93" s="29"/>
      <c r="B93" s="46" t="s">
        <v>43</v>
      </c>
      <c r="C93" s="46" t="s">
        <v>16</v>
      </c>
      <c r="D93" s="46" t="s">
        <v>17</v>
      </c>
      <c r="E93" s="47">
        <v>8</v>
      </c>
      <c r="F93" s="47" t="s">
        <v>86</v>
      </c>
      <c r="G93" s="54" t="s">
        <v>135</v>
      </c>
      <c r="H93" s="46"/>
      <c r="I93" s="47"/>
      <c r="J93" s="47"/>
      <c r="K93" s="47"/>
      <c r="L93" s="46" t="s">
        <v>82</v>
      </c>
      <c r="M93" s="46" t="s">
        <v>14</v>
      </c>
      <c r="N93" s="49"/>
      <c r="O93" s="49"/>
      <c r="P93" s="49"/>
      <c r="S93" s="12"/>
      <c r="T93" s="12"/>
      <c r="U93" s="12"/>
      <c r="V93" s="12"/>
      <c r="W93" s="12"/>
    </row>
    <row r="94" spans="1:23">
      <c r="A94" s="29"/>
      <c r="B94" s="46" t="s">
        <v>44</v>
      </c>
      <c r="C94" s="46" t="s">
        <v>18</v>
      </c>
      <c r="D94" s="46" t="s">
        <v>17</v>
      </c>
      <c r="E94" s="47">
        <v>8</v>
      </c>
      <c r="F94" s="47" t="s">
        <v>86</v>
      </c>
      <c r="G94" s="54" t="s">
        <v>135</v>
      </c>
      <c r="H94" s="46"/>
      <c r="I94" s="47"/>
      <c r="J94" s="47"/>
      <c r="K94" s="47"/>
      <c r="L94" s="46" t="s">
        <v>82</v>
      </c>
      <c r="M94" s="46" t="s">
        <v>14</v>
      </c>
      <c r="N94" s="49"/>
      <c r="O94" s="49"/>
      <c r="P94" s="49"/>
      <c r="S94" s="12"/>
      <c r="T94" s="12"/>
      <c r="U94" s="12"/>
      <c r="V94" s="12"/>
      <c r="W94" s="12"/>
    </row>
    <row r="95" spans="1:23">
      <c r="A95" s="29"/>
      <c r="B95" s="46" t="s">
        <v>19</v>
      </c>
      <c r="C95" s="46" t="s">
        <v>20</v>
      </c>
      <c r="D95" s="46" t="s">
        <v>13</v>
      </c>
      <c r="E95" s="47">
        <v>40</v>
      </c>
      <c r="F95" s="47" t="s">
        <v>86</v>
      </c>
      <c r="G95" s="46"/>
      <c r="H95" s="46"/>
      <c r="I95" s="47"/>
      <c r="J95" s="47"/>
      <c r="K95" s="47"/>
      <c r="L95" s="46" t="s">
        <v>78</v>
      </c>
      <c r="M95" s="46" t="s">
        <v>14</v>
      </c>
      <c r="N95" s="49"/>
      <c r="O95" s="49"/>
      <c r="P95" s="49"/>
      <c r="S95" s="12"/>
      <c r="T95" s="12"/>
      <c r="U95" s="12"/>
      <c r="V95" s="12"/>
      <c r="W95" s="12"/>
    </row>
    <row r="96" spans="1:23">
      <c r="A96" s="29"/>
      <c r="B96" s="46" t="s">
        <v>21</v>
      </c>
      <c r="C96" s="46" t="s">
        <v>22</v>
      </c>
      <c r="D96" s="46" t="s">
        <v>13</v>
      </c>
      <c r="E96" s="47">
        <v>40</v>
      </c>
      <c r="F96" s="47" t="s">
        <v>86</v>
      </c>
      <c r="G96" s="46"/>
      <c r="H96" s="46"/>
      <c r="I96" s="47"/>
      <c r="J96" s="47"/>
      <c r="K96" s="47"/>
      <c r="L96" s="46" t="s">
        <v>78</v>
      </c>
      <c r="M96" s="46" t="s">
        <v>14</v>
      </c>
      <c r="N96" s="49"/>
      <c r="O96" s="49"/>
      <c r="P96" s="49"/>
      <c r="S96" s="12"/>
      <c r="T96" s="12"/>
      <c r="U96" s="12"/>
      <c r="V96" s="12"/>
      <c r="W96" s="12"/>
    </row>
    <row r="97" spans="1:23" ht="25.2">
      <c r="A97" s="29"/>
      <c r="B97" s="46" t="s">
        <v>45</v>
      </c>
      <c r="C97" s="46" t="s">
        <v>46</v>
      </c>
      <c r="D97" s="46" t="s">
        <v>13</v>
      </c>
      <c r="E97" s="47">
        <v>10</v>
      </c>
      <c r="F97" s="47" t="s">
        <v>86</v>
      </c>
      <c r="G97" s="46"/>
      <c r="H97" s="46"/>
      <c r="I97" s="47"/>
      <c r="J97" s="47"/>
      <c r="K97" s="47"/>
      <c r="L97" s="46" t="s">
        <v>83</v>
      </c>
      <c r="M97" s="46" t="s">
        <v>14</v>
      </c>
      <c r="N97" s="49" t="s">
        <v>62</v>
      </c>
      <c r="O97" s="48" t="s">
        <v>63</v>
      </c>
      <c r="P97" s="49"/>
      <c r="S97" s="12"/>
      <c r="T97" s="12"/>
      <c r="U97" s="12"/>
      <c r="V97" s="12"/>
      <c r="W97" s="12"/>
    </row>
  </sheetData>
  <mergeCells count="4">
    <mergeCell ref="D5:F5"/>
    <mergeCell ref="H5:P5"/>
    <mergeCell ref="D6:F6"/>
    <mergeCell ref="H6:P6"/>
  </mergeCells>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39308-08F3-451C-911C-80C4708E737F}">
  <sheetPr codeName="Sheet19">
    <tabColor theme="0" tint="-0.499984740745262"/>
  </sheetPr>
  <dimension ref="A2:Z110"/>
  <sheetViews>
    <sheetView showGridLines="0" workbookViewId="0"/>
  </sheetViews>
  <sheetFormatPr defaultRowHeight="15"/>
  <cols>
    <col min="1" max="1" width="2.54296875" customWidth="1"/>
    <col min="2" max="3" width="22.81640625" customWidth="1"/>
    <col min="4" max="4" width="7.1796875" bestFit="1" customWidth="1"/>
    <col min="5" max="5" width="5.1796875" customWidth="1"/>
    <col min="6" max="6" width="4.453125" customWidth="1"/>
    <col min="7" max="7" width="15.36328125" bestFit="1" customWidth="1"/>
    <col min="8" max="8" width="4.453125" customWidth="1"/>
    <col min="9" max="9" width="3.08984375" bestFit="1" customWidth="1"/>
    <col min="10" max="10" width="3.1796875" bestFit="1" customWidth="1"/>
    <col min="11" max="11" width="3" bestFit="1" customWidth="1"/>
    <col min="12" max="12" width="12" bestFit="1" customWidth="1"/>
    <col min="13" max="13" width="4.453125" customWidth="1"/>
    <col min="14" max="14" width="30.453125" customWidth="1"/>
    <col min="15" max="15" width="27.36328125" customWidth="1"/>
    <col min="16" max="16" width="33.36328125" customWidth="1"/>
    <col min="17" max="17" width="2.36328125" customWidth="1"/>
    <col min="18" max="18" width="6.54296875" customWidth="1"/>
    <col min="19" max="23" width="20.6328125" customWidth="1"/>
  </cols>
  <sheetData>
    <row r="2" spans="1:26">
      <c r="A2" s="6"/>
      <c r="B2" s="7" t="s">
        <v>38</v>
      </c>
      <c r="C2" s="6"/>
      <c r="D2" s="6"/>
      <c r="E2" s="6"/>
      <c r="F2" s="6"/>
      <c r="G2" s="6"/>
      <c r="H2" s="6"/>
      <c r="I2" s="6"/>
      <c r="J2" s="6"/>
      <c r="K2" s="6"/>
      <c r="L2" s="6"/>
      <c r="M2" s="6"/>
      <c r="N2" s="6"/>
      <c r="O2" s="6"/>
      <c r="P2" s="6"/>
      <c r="Q2" s="6"/>
      <c r="R2" s="6"/>
      <c r="S2" s="6"/>
      <c r="T2" s="6"/>
      <c r="U2" s="6"/>
      <c r="V2" s="6"/>
      <c r="W2" s="6"/>
      <c r="X2" s="6"/>
      <c r="Y2" s="6"/>
      <c r="Z2" s="6"/>
    </row>
    <row r="3" spans="1:26" ht="7.5" customHeight="1">
      <c r="A3" s="1"/>
      <c r="B3" s="1"/>
      <c r="C3" s="1"/>
      <c r="D3" s="1"/>
      <c r="E3" s="1"/>
      <c r="F3" s="1"/>
      <c r="G3" s="1"/>
      <c r="H3" s="1"/>
      <c r="I3" s="1"/>
      <c r="J3" s="1"/>
      <c r="K3" s="1"/>
      <c r="L3" s="1"/>
      <c r="M3" s="1"/>
      <c r="N3" s="1"/>
      <c r="O3" s="1"/>
      <c r="P3" s="1"/>
      <c r="Q3" s="1"/>
      <c r="R3" s="1"/>
      <c r="S3" s="1"/>
      <c r="T3" s="1"/>
      <c r="U3" s="1"/>
      <c r="V3" s="1"/>
      <c r="W3" s="1"/>
      <c r="X3" s="1"/>
      <c r="Y3" s="1"/>
      <c r="Z3" s="1"/>
    </row>
    <row r="5" spans="1:26">
      <c r="B5" s="8" t="s">
        <v>30</v>
      </c>
      <c r="C5" s="8" t="s">
        <v>31</v>
      </c>
      <c r="D5" s="234" t="s">
        <v>37</v>
      </c>
      <c r="E5" s="235"/>
      <c r="F5" s="236"/>
      <c r="G5" s="8" t="s">
        <v>74</v>
      </c>
      <c r="H5" s="234" t="s">
        <v>85</v>
      </c>
      <c r="I5" s="235"/>
      <c r="J5" s="235"/>
      <c r="K5" s="235"/>
      <c r="L5" s="235"/>
      <c r="M5" s="235"/>
      <c r="N5" s="235"/>
      <c r="O5" s="235"/>
      <c r="P5" s="236"/>
    </row>
    <row r="6" spans="1:26">
      <c r="B6" s="30" t="s">
        <v>643</v>
      </c>
      <c r="C6" s="30" t="s">
        <v>635</v>
      </c>
      <c r="D6" s="237" t="s">
        <v>93</v>
      </c>
      <c r="E6" s="238"/>
      <c r="F6" s="239"/>
      <c r="G6" s="45" t="s">
        <v>75</v>
      </c>
      <c r="H6" s="240"/>
      <c r="I6" s="241"/>
      <c r="J6" s="241"/>
      <c r="K6" s="241"/>
      <c r="L6" s="241"/>
      <c r="M6" s="241"/>
      <c r="N6" s="241"/>
      <c r="O6" s="241"/>
      <c r="P6" s="242"/>
      <c r="S6" t="s">
        <v>109</v>
      </c>
    </row>
    <row r="8" spans="1:26">
      <c r="B8" s="8" t="s">
        <v>32</v>
      </c>
      <c r="C8" s="8" t="s">
        <v>33</v>
      </c>
      <c r="D8" s="8" t="s">
        <v>34</v>
      </c>
      <c r="E8" s="13" t="s">
        <v>10</v>
      </c>
      <c r="F8" s="9" t="s">
        <v>23</v>
      </c>
      <c r="G8" s="9" t="s">
        <v>24</v>
      </c>
      <c r="H8" s="9" t="s">
        <v>25</v>
      </c>
      <c r="I8" s="9" t="s">
        <v>26</v>
      </c>
      <c r="J8" s="9" t="s">
        <v>27</v>
      </c>
      <c r="K8" s="9" t="s">
        <v>28</v>
      </c>
      <c r="L8" s="9" t="s">
        <v>29</v>
      </c>
      <c r="M8" s="9" t="s">
        <v>11</v>
      </c>
      <c r="N8" s="8" t="s">
        <v>35</v>
      </c>
      <c r="O8" s="8" t="s">
        <v>36</v>
      </c>
      <c r="P8" s="8" t="s">
        <v>12</v>
      </c>
      <c r="S8" s="8" t="s">
        <v>107</v>
      </c>
      <c r="T8" s="8" t="s">
        <v>107</v>
      </c>
      <c r="U8" s="8" t="s">
        <v>107</v>
      </c>
      <c r="V8" s="8" t="s">
        <v>107</v>
      </c>
      <c r="W8" s="8" t="s">
        <v>107</v>
      </c>
    </row>
    <row r="9" spans="1:26">
      <c r="B9" s="46" t="s">
        <v>644</v>
      </c>
      <c r="C9" s="46" t="s">
        <v>422</v>
      </c>
      <c r="D9" s="46" t="s">
        <v>64</v>
      </c>
      <c r="E9" s="47">
        <v>8</v>
      </c>
      <c r="F9" s="47" t="s">
        <v>14</v>
      </c>
      <c r="G9" s="46" t="s">
        <v>645</v>
      </c>
      <c r="H9" s="46"/>
      <c r="I9" s="47" t="s">
        <v>14</v>
      </c>
      <c r="J9" s="47"/>
      <c r="K9" s="47"/>
      <c r="L9" s="46"/>
      <c r="M9" s="46"/>
      <c r="N9" s="48" t="s">
        <v>842</v>
      </c>
      <c r="O9" s="49"/>
      <c r="P9" s="49"/>
      <c r="Q9" s="44"/>
      <c r="R9" s="44"/>
      <c r="S9" s="49"/>
      <c r="T9" s="49"/>
      <c r="U9" s="49"/>
      <c r="V9" s="49"/>
      <c r="W9" s="49"/>
    </row>
    <row r="10" spans="1:26">
      <c r="B10" s="46" t="s">
        <v>175</v>
      </c>
      <c r="C10" s="46" t="s">
        <v>176</v>
      </c>
      <c r="D10" s="46" t="s">
        <v>13</v>
      </c>
      <c r="E10" s="47">
        <v>40</v>
      </c>
      <c r="F10" s="47"/>
      <c r="G10" s="46"/>
      <c r="H10" s="46"/>
      <c r="I10" s="47"/>
      <c r="J10" s="47" t="s">
        <v>14</v>
      </c>
      <c r="K10" s="47"/>
      <c r="L10" s="46" t="s">
        <v>177</v>
      </c>
      <c r="M10" s="46"/>
      <c r="N10" s="49" t="s">
        <v>843</v>
      </c>
      <c r="O10" s="49"/>
      <c r="P10" s="49"/>
      <c r="Q10" s="44"/>
      <c r="R10" s="44"/>
      <c r="S10" s="49"/>
      <c r="T10" s="49"/>
      <c r="U10" s="49"/>
      <c r="V10" s="49"/>
      <c r="W10" s="49"/>
    </row>
    <row r="11" spans="1:26">
      <c r="B11" s="46" t="s">
        <v>646</v>
      </c>
      <c r="C11" s="46" t="s">
        <v>647</v>
      </c>
      <c r="D11" s="46" t="s">
        <v>13</v>
      </c>
      <c r="E11" s="47">
        <v>50</v>
      </c>
      <c r="F11" s="47"/>
      <c r="G11" s="46"/>
      <c r="H11" s="46"/>
      <c r="I11" s="47"/>
      <c r="J11" s="47"/>
      <c r="K11" s="47"/>
      <c r="L11" s="46" t="s">
        <v>315</v>
      </c>
      <c r="M11" s="46"/>
      <c r="N11" s="49" t="s">
        <v>844</v>
      </c>
      <c r="O11" s="49"/>
      <c r="P11" s="49"/>
      <c r="Q11" s="44"/>
      <c r="R11" s="44"/>
      <c r="S11" s="49"/>
      <c r="T11" s="49"/>
      <c r="U11" s="49"/>
      <c r="V11" s="49"/>
      <c r="W11" s="49"/>
    </row>
    <row r="12" spans="1:26" ht="126">
      <c r="B12" s="46" t="s">
        <v>648</v>
      </c>
      <c r="C12" s="46" t="s">
        <v>640</v>
      </c>
      <c r="D12" s="46" t="s">
        <v>13</v>
      </c>
      <c r="E12" s="47">
        <v>16</v>
      </c>
      <c r="F12" s="47"/>
      <c r="G12" s="46"/>
      <c r="H12" s="46"/>
      <c r="I12" s="47"/>
      <c r="J12" s="47"/>
      <c r="K12" s="47"/>
      <c r="L12" s="46" t="s">
        <v>649</v>
      </c>
      <c r="M12" s="46"/>
      <c r="N12" s="48"/>
      <c r="O12" s="48" t="s">
        <v>845</v>
      </c>
      <c r="P12" s="49"/>
      <c r="Q12" s="44"/>
      <c r="R12" s="44"/>
      <c r="S12" s="49"/>
      <c r="T12" s="49"/>
      <c r="U12" s="49"/>
      <c r="V12" s="49"/>
      <c r="W12" s="49"/>
    </row>
    <row r="13" spans="1:26" ht="50.4">
      <c r="B13" s="46" t="s">
        <v>650</v>
      </c>
      <c r="C13" s="46" t="s">
        <v>641</v>
      </c>
      <c r="D13" s="46" t="s">
        <v>13</v>
      </c>
      <c r="E13" s="47">
        <v>16</v>
      </c>
      <c r="F13" s="47"/>
      <c r="G13" s="46"/>
      <c r="H13" s="46"/>
      <c r="I13" s="47"/>
      <c r="J13" s="47"/>
      <c r="K13" s="47"/>
      <c r="L13" s="46" t="s">
        <v>649</v>
      </c>
      <c r="M13" s="46"/>
      <c r="N13" s="48"/>
      <c r="O13" s="48" t="s">
        <v>846</v>
      </c>
      <c r="P13" s="49"/>
      <c r="Q13" s="44"/>
      <c r="R13" s="44"/>
      <c r="S13" s="49"/>
      <c r="T13" s="49"/>
      <c r="U13" s="49"/>
      <c r="V13" s="49"/>
      <c r="W13" s="49"/>
    </row>
    <row r="14" spans="1:26">
      <c r="B14" s="46" t="s">
        <v>651</v>
      </c>
      <c r="C14" s="46" t="s">
        <v>638</v>
      </c>
      <c r="D14" s="46" t="s">
        <v>13</v>
      </c>
      <c r="E14" s="47">
        <v>100</v>
      </c>
      <c r="F14" s="47"/>
      <c r="G14" s="46"/>
      <c r="H14" s="46"/>
      <c r="I14" s="47"/>
      <c r="J14" s="47"/>
      <c r="K14" s="47"/>
      <c r="L14" s="46" t="s">
        <v>254</v>
      </c>
      <c r="M14" s="46"/>
      <c r="N14" s="49" t="s">
        <v>847</v>
      </c>
      <c r="O14" s="49"/>
      <c r="P14" s="49"/>
      <c r="Q14" s="44"/>
      <c r="R14" s="44"/>
      <c r="S14" s="49"/>
      <c r="T14" s="49"/>
      <c r="U14" s="49"/>
      <c r="V14" s="49"/>
      <c r="W14" s="49"/>
    </row>
    <row r="15" spans="1:26">
      <c r="B15" s="46" t="s">
        <v>652</v>
      </c>
      <c r="C15" s="46" t="s">
        <v>653</v>
      </c>
      <c r="D15" s="46" t="s">
        <v>13</v>
      </c>
      <c r="E15" s="47">
        <v>16</v>
      </c>
      <c r="F15" s="47"/>
      <c r="G15" s="46"/>
      <c r="H15" s="46"/>
      <c r="I15" s="47"/>
      <c r="J15" s="47"/>
      <c r="K15" s="47"/>
      <c r="L15" s="46" t="s">
        <v>649</v>
      </c>
      <c r="M15" s="46"/>
      <c r="N15" s="49" t="s">
        <v>848</v>
      </c>
      <c r="O15" s="49"/>
      <c r="P15" s="49"/>
      <c r="Q15" s="44"/>
      <c r="R15" s="44"/>
      <c r="S15" s="49"/>
      <c r="T15" s="49"/>
      <c r="U15" s="49"/>
      <c r="V15" s="49"/>
      <c r="W15" s="49"/>
    </row>
    <row r="16" spans="1:26">
      <c r="B16" s="46" t="s">
        <v>654</v>
      </c>
      <c r="C16" s="46" t="s">
        <v>655</v>
      </c>
      <c r="D16" s="46" t="s">
        <v>13</v>
      </c>
      <c r="E16" s="47">
        <v>5</v>
      </c>
      <c r="F16" s="47"/>
      <c r="G16" s="46"/>
      <c r="H16" s="46"/>
      <c r="I16" s="47"/>
      <c r="J16" s="47"/>
      <c r="K16" s="47"/>
      <c r="L16" s="46" t="s">
        <v>656</v>
      </c>
      <c r="M16" s="46"/>
      <c r="N16" s="49" t="s">
        <v>848</v>
      </c>
      <c r="O16" s="49"/>
      <c r="P16" s="49"/>
      <c r="Q16" s="44"/>
      <c r="R16" s="44"/>
      <c r="S16" s="49"/>
      <c r="T16" s="49"/>
      <c r="U16" s="49"/>
      <c r="V16" s="49"/>
      <c r="W16" s="49"/>
    </row>
    <row r="17" spans="2:23">
      <c r="B17" s="46" t="s">
        <v>534</v>
      </c>
      <c r="C17" s="46" t="s">
        <v>657</v>
      </c>
      <c r="D17" s="46" t="s">
        <v>13</v>
      </c>
      <c r="E17" s="47">
        <v>100</v>
      </c>
      <c r="F17" s="47"/>
      <c r="G17" s="46"/>
      <c r="H17" s="46"/>
      <c r="I17" s="47"/>
      <c r="J17" s="47"/>
      <c r="K17" s="47"/>
      <c r="L17" s="46" t="s">
        <v>254</v>
      </c>
      <c r="M17" s="46"/>
      <c r="N17" s="49" t="s">
        <v>848</v>
      </c>
      <c r="O17" s="49"/>
      <c r="P17" s="49"/>
      <c r="Q17" s="44"/>
      <c r="R17" s="44"/>
      <c r="S17" s="49"/>
      <c r="T17" s="49"/>
      <c r="U17" s="49"/>
      <c r="V17" s="49"/>
      <c r="W17" s="49"/>
    </row>
    <row r="18" spans="2:23">
      <c r="B18" s="46" t="s">
        <v>658</v>
      </c>
      <c r="C18" s="46" t="s">
        <v>659</v>
      </c>
      <c r="D18" s="46" t="s">
        <v>13</v>
      </c>
      <c r="E18" s="47">
        <v>100</v>
      </c>
      <c r="F18" s="47"/>
      <c r="G18" s="46"/>
      <c r="H18" s="46"/>
      <c r="I18" s="47"/>
      <c r="J18" s="47"/>
      <c r="K18" s="47"/>
      <c r="L18" s="46" t="s">
        <v>254</v>
      </c>
      <c r="M18" s="46"/>
      <c r="N18" s="49" t="s">
        <v>848</v>
      </c>
      <c r="O18" s="49"/>
      <c r="P18" s="49"/>
      <c r="Q18" s="44"/>
      <c r="R18" s="44"/>
      <c r="S18" s="49"/>
      <c r="T18" s="49"/>
      <c r="U18" s="49"/>
      <c r="V18" s="49"/>
      <c r="W18" s="49"/>
    </row>
    <row r="19" spans="2:23">
      <c r="B19" s="46" t="s">
        <v>660</v>
      </c>
      <c r="C19" s="46" t="s">
        <v>661</v>
      </c>
      <c r="D19" s="46" t="s">
        <v>13</v>
      </c>
      <c r="E19" s="47">
        <v>1</v>
      </c>
      <c r="F19" s="47"/>
      <c r="G19" s="46"/>
      <c r="H19" s="46"/>
      <c r="I19" s="47"/>
      <c r="J19" s="47"/>
      <c r="K19" s="47"/>
      <c r="L19" s="46" t="s">
        <v>662</v>
      </c>
      <c r="M19" s="46"/>
      <c r="N19" s="49" t="s">
        <v>848</v>
      </c>
      <c r="O19" s="49"/>
      <c r="P19" s="49"/>
      <c r="Q19" s="44"/>
      <c r="R19" s="44"/>
      <c r="S19" s="49"/>
      <c r="T19" s="49"/>
      <c r="U19" s="49"/>
      <c r="V19" s="49"/>
      <c r="W19" s="49"/>
    </row>
    <row r="20" spans="2:23">
      <c r="B20" s="46" t="s">
        <v>663</v>
      </c>
      <c r="C20" s="46" t="s">
        <v>664</v>
      </c>
      <c r="D20" s="46" t="s">
        <v>13</v>
      </c>
      <c r="E20" s="47">
        <v>1</v>
      </c>
      <c r="F20" s="47"/>
      <c r="G20" s="46"/>
      <c r="H20" s="46"/>
      <c r="I20" s="47"/>
      <c r="J20" s="47"/>
      <c r="K20" s="47"/>
      <c r="L20" s="46" t="s">
        <v>662</v>
      </c>
      <c r="M20" s="46"/>
      <c r="N20" s="49"/>
      <c r="O20" s="49"/>
      <c r="P20" s="49"/>
      <c r="Q20" s="44"/>
      <c r="R20" s="44"/>
      <c r="S20" s="49"/>
      <c r="T20" s="49"/>
      <c r="U20" s="49"/>
      <c r="V20" s="49"/>
      <c r="W20" s="49"/>
    </row>
    <row r="21" spans="2:23">
      <c r="B21" s="46" t="s">
        <v>665</v>
      </c>
      <c r="C21" s="46" t="s">
        <v>666</v>
      </c>
      <c r="D21" s="46" t="s">
        <v>13</v>
      </c>
      <c r="E21" s="47">
        <v>1</v>
      </c>
      <c r="F21" s="47"/>
      <c r="G21" s="46"/>
      <c r="H21" s="46"/>
      <c r="I21" s="47"/>
      <c r="J21" s="47"/>
      <c r="K21" s="47"/>
      <c r="L21" s="46" t="s">
        <v>662</v>
      </c>
      <c r="M21" s="46"/>
      <c r="N21" s="49"/>
      <c r="O21" s="49"/>
      <c r="P21" s="49"/>
      <c r="Q21" s="44"/>
      <c r="R21" s="44"/>
      <c r="S21" s="49"/>
      <c r="T21" s="49"/>
      <c r="U21" s="49"/>
      <c r="V21" s="49"/>
      <c r="W21" s="49"/>
    </row>
    <row r="22" spans="2:23">
      <c r="B22" s="46" t="s">
        <v>667</v>
      </c>
      <c r="C22" s="46" t="s">
        <v>668</v>
      </c>
      <c r="D22" s="46" t="s">
        <v>13</v>
      </c>
      <c r="E22" s="47">
        <v>10</v>
      </c>
      <c r="F22" s="47"/>
      <c r="G22" s="46"/>
      <c r="H22" s="46"/>
      <c r="I22" s="47"/>
      <c r="J22" s="47"/>
      <c r="K22" s="47"/>
      <c r="L22" s="46" t="s">
        <v>234</v>
      </c>
      <c r="M22" s="46"/>
      <c r="N22" s="49"/>
      <c r="O22" s="49"/>
      <c r="P22" s="49"/>
      <c r="Q22" s="44"/>
      <c r="R22" s="44"/>
      <c r="S22" s="49"/>
      <c r="T22" s="49"/>
      <c r="U22" s="49"/>
      <c r="V22" s="49"/>
      <c r="W22" s="49"/>
    </row>
    <row r="23" spans="2:23">
      <c r="B23" s="46" t="s">
        <v>669</v>
      </c>
      <c r="C23" s="46" t="s">
        <v>670</v>
      </c>
      <c r="D23" s="46" t="s">
        <v>13</v>
      </c>
      <c r="E23" s="47">
        <v>20</v>
      </c>
      <c r="F23" s="47"/>
      <c r="G23" s="46"/>
      <c r="H23" s="46"/>
      <c r="I23" s="47"/>
      <c r="J23" s="47"/>
      <c r="K23" s="47"/>
      <c r="L23" s="46" t="s">
        <v>289</v>
      </c>
      <c r="M23" s="46"/>
      <c r="N23" s="49" t="s">
        <v>849</v>
      </c>
      <c r="O23" s="49"/>
      <c r="P23" s="49"/>
      <c r="Q23" s="44"/>
      <c r="R23" s="44"/>
      <c r="S23" s="49"/>
      <c r="T23" s="49"/>
      <c r="U23" s="49"/>
      <c r="V23" s="49"/>
      <c r="W23" s="49"/>
    </row>
    <row r="24" spans="2:23">
      <c r="B24" s="46" t="s">
        <v>671</v>
      </c>
      <c r="C24" s="46" t="s">
        <v>672</v>
      </c>
      <c r="D24" s="46" t="s">
        <v>13</v>
      </c>
      <c r="E24" s="47">
        <v>8</v>
      </c>
      <c r="F24" s="47"/>
      <c r="G24" s="46"/>
      <c r="H24" s="46"/>
      <c r="I24" s="47"/>
      <c r="J24" s="47"/>
      <c r="K24" s="47"/>
      <c r="L24" s="46" t="s">
        <v>182</v>
      </c>
      <c r="M24" s="46"/>
      <c r="N24" s="49" t="s">
        <v>849</v>
      </c>
      <c r="O24" s="49"/>
      <c r="P24" s="49"/>
      <c r="Q24" s="44"/>
      <c r="R24" s="44"/>
      <c r="S24" s="49"/>
      <c r="T24" s="49"/>
      <c r="U24" s="49"/>
      <c r="V24" s="49"/>
      <c r="W24" s="49"/>
    </row>
    <row r="25" spans="2:23">
      <c r="B25" s="46" t="s">
        <v>673</v>
      </c>
      <c r="C25" s="46" t="s">
        <v>674</v>
      </c>
      <c r="D25" s="46" t="s">
        <v>13</v>
      </c>
      <c r="E25" s="47">
        <v>36</v>
      </c>
      <c r="F25" s="47"/>
      <c r="G25" s="46"/>
      <c r="H25" s="46"/>
      <c r="I25" s="47"/>
      <c r="J25" s="47"/>
      <c r="K25" s="47"/>
      <c r="L25" s="46" t="s">
        <v>675</v>
      </c>
      <c r="M25" s="46"/>
      <c r="N25" s="49" t="s">
        <v>849</v>
      </c>
      <c r="O25" s="49"/>
      <c r="P25" s="49"/>
      <c r="Q25" s="44"/>
      <c r="R25" s="44"/>
      <c r="S25" s="49"/>
      <c r="T25" s="49"/>
      <c r="U25" s="49"/>
      <c r="V25" s="49"/>
      <c r="W25" s="49"/>
    </row>
    <row r="26" spans="2:23">
      <c r="B26" s="46" t="s">
        <v>676</v>
      </c>
      <c r="C26" s="46" t="s">
        <v>677</v>
      </c>
      <c r="D26" s="46" t="s">
        <v>13</v>
      </c>
      <c r="E26" s="47">
        <v>83</v>
      </c>
      <c r="F26" s="47"/>
      <c r="G26" s="46"/>
      <c r="H26" s="46"/>
      <c r="I26" s="47"/>
      <c r="J26" s="47"/>
      <c r="K26" s="47"/>
      <c r="L26" s="46" t="s">
        <v>678</v>
      </c>
      <c r="M26" s="46"/>
      <c r="N26" s="49" t="s">
        <v>849</v>
      </c>
      <c r="O26" s="49"/>
      <c r="P26" s="49"/>
      <c r="Q26" s="44"/>
      <c r="R26" s="44"/>
      <c r="S26" s="49"/>
      <c r="T26" s="49"/>
      <c r="U26" s="49"/>
      <c r="V26" s="49"/>
      <c r="W26" s="49"/>
    </row>
    <row r="27" spans="2:23">
      <c r="B27" s="46" t="s">
        <v>679</v>
      </c>
      <c r="C27" s="46" t="s">
        <v>680</v>
      </c>
      <c r="D27" s="46" t="s">
        <v>13</v>
      </c>
      <c r="E27" s="47">
        <v>5</v>
      </c>
      <c r="F27" s="47"/>
      <c r="G27" s="46"/>
      <c r="H27" s="46"/>
      <c r="I27" s="47"/>
      <c r="J27" s="47"/>
      <c r="K27" s="47"/>
      <c r="L27" s="46" t="s">
        <v>656</v>
      </c>
      <c r="M27" s="46"/>
      <c r="N27" s="49" t="s">
        <v>849</v>
      </c>
      <c r="O27" s="49"/>
      <c r="P27" s="49"/>
      <c r="Q27" s="44"/>
      <c r="R27" s="44"/>
      <c r="S27" s="49"/>
      <c r="T27" s="49"/>
      <c r="U27" s="49"/>
      <c r="V27" s="49"/>
      <c r="W27" s="49"/>
    </row>
    <row r="28" spans="2:23">
      <c r="B28" s="46" t="s">
        <v>681</v>
      </c>
      <c r="C28" s="46" t="s">
        <v>682</v>
      </c>
      <c r="D28" s="46" t="s">
        <v>13</v>
      </c>
      <c r="E28" s="47">
        <v>4</v>
      </c>
      <c r="F28" s="47"/>
      <c r="G28" s="46"/>
      <c r="H28" s="46"/>
      <c r="I28" s="47"/>
      <c r="J28" s="47"/>
      <c r="K28" s="47"/>
      <c r="L28" s="46" t="s">
        <v>683</v>
      </c>
      <c r="M28" s="46"/>
      <c r="N28" s="49" t="s">
        <v>849</v>
      </c>
      <c r="O28" s="49"/>
      <c r="P28" s="49"/>
      <c r="Q28" s="44"/>
      <c r="R28" s="44"/>
      <c r="S28" s="49"/>
      <c r="T28" s="49"/>
      <c r="U28" s="49"/>
      <c r="V28" s="49"/>
      <c r="W28" s="49"/>
    </row>
    <row r="29" spans="2:23">
      <c r="B29" s="46" t="s">
        <v>684</v>
      </c>
      <c r="C29" s="46" t="s">
        <v>685</v>
      </c>
      <c r="D29" s="46" t="s">
        <v>13</v>
      </c>
      <c r="E29" s="47">
        <v>1024</v>
      </c>
      <c r="F29" s="47"/>
      <c r="G29" s="46"/>
      <c r="H29" s="46"/>
      <c r="I29" s="47"/>
      <c r="J29" s="47"/>
      <c r="K29" s="47"/>
      <c r="L29" s="46" t="s">
        <v>686</v>
      </c>
      <c r="M29" s="46"/>
      <c r="N29" s="49" t="s">
        <v>849</v>
      </c>
      <c r="O29" s="49"/>
      <c r="P29" s="49"/>
      <c r="Q29" s="44"/>
      <c r="R29" s="44"/>
      <c r="S29" s="49"/>
      <c r="T29" s="49"/>
      <c r="U29" s="49"/>
      <c r="V29" s="49"/>
      <c r="W29" s="49"/>
    </row>
    <row r="30" spans="2:23">
      <c r="B30" s="46" t="s">
        <v>687</v>
      </c>
      <c r="C30" s="46" t="s">
        <v>688</v>
      </c>
      <c r="D30" s="46" t="s">
        <v>13</v>
      </c>
      <c r="E30" s="47">
        <v>1</v>
      </c>
      <c r="F30" s="47"/>
      <c r="G30" s="46"/>
      <c r="H30" s="46"/>
      <c r="I30" s="47"/>
      <c r="J30" s="47"/>
      <c r="K30" s="47"/>
      <c r="L30" s="46" t="s">
        <v>662</v>
      </c>
      <c r="M30" s="46"/>
      <c r="N30" s="49"/>
      <c r="O30" s="49"/>
      <c r="P30" s="49"/>
      <c r="Q30" s="44"/>
      <c r="R30" s="44"/>
      <c r="S30" s="49"/>
      <c r="T30" s="49"/>
      <c r="U30" s="49"/>
      <c r="V30" s="49"/>
      <c r="W30" s="49"/>
    </row>
    <row r="31" spans="2:23">
      <c r="B31" s="46" t="s">
        <v>689</v>
      </c>
      <c r="C31" s="46" t="s">
        <v>690</v>
      </c>
      <c r="D31" s="46" t="s">
        <v>13</v>
      </c>
      <c r="E31" s="47" t="s">
        <v>505</v>
      </c>
      <c r="F31" s="47"/>
      <c r="G31" s="46"/>
      <c r="H31" s="46"/>
      <c r="I31" s="47"/>
      <c r="J31" s="47"/>
      <c r="K31" s="47"/>
      <c r="L31" s="46" t="s">
        <v>204</v>
      </c>
      <c r="M31" s="46"/>
      <c r="N31" s="49" t="s">
        <v>849</v>
      </c>
      <c r="O31" s="49"/>
      <c r="P31" s="49"/>
      <c r="Q31" s="44"/>
      <c r="R31" s="44"/>
      <c r="S31" s="49"/>
      <c r="T31" s="49"/>
      <c r="U31" s="49"/>
      <c r="V31" s="49"/>
      <c r="W31" s="49"/>
    </row>
    <row r="32" spans="2:23">
      <c r="B32" s="46" t="s">
        <v>691</v>
      </c>
      <c r="C32" s="46" t="s">
        <v>692</v>
      </c>
      <c r="D32" s="46" t="s">
        <v>13</v>
      </c>
      <c r="E32" s="47" t="s">
        <v>505</v>
      </c>
      <c r="F32" s="47"/>
      <c r="G32" s="46"/>
      <c r="H32" s="46"/>
      <c r="I32" s="47"/>
      <c r="J32" s="47"/>
      <c r="K32" s="47"/>
      <c r="L32" s="46" t="s">
        <v>204</v>
      </c>
      <c r="M32" s="46"/>
      <c r="N32" s="49" t="s">
        <v>849</v>
      </c>
      <c r="O32" s="49"/>
      <c r="P32" s="49"/>
      <c r="Q32" s="44"/>
      <c r="R32" s="44"/>
      <c r="S32" s="49"/>
      <c r="T32" s="49"/>
      <c r="U32" s="49"/>
      <c r="V32" s="49"/>
      <c r="W32" s="49"/>
    </row>
    <row r="33" spans="2:23">
      <c r="B33" s="46" t="s">
        <v>693</v>
      </c>
      <c r="C33" s="46" t="s">
        <v>694</v>
      </c>
      <c r="D33" s="46" t="s">
        <v>13</v>
      </c>
      <c r="E33" s="47">
        <v>256</v>
      </c>
      <c r="F33" s="47"/>
      <c r="G33" s="46"/>
      <c r="H33" s="46"/>
      <c r="I33" s="47"/>
      <c r="J33" s="47"/>
      <c r="K33" s="47"/>
      <c r="L33" s="46" t="s">
        <v>610</v>
      </c>
      <c r="M33" s="46"/>
      <c r="N33" s="49" t="s">
        <v>849</v>
      </c>
      <c r="O33" s="49"/>
      <c r="P33" s="49"/>
      <c r="Q33" s="44"/>
      <c r="R33" s="44"/>
      <c r="S33" s="49"/>
      <c r="T33" s="49"/>
      <c r="U33" s="49"/>
      <c r="V33" s="49"/>
      <c r="W33" s="49"/>
    </row>
    <row r="34" spans="2:23">
      <c r="B34" s="46" t="s">
        <v>695</v>
      </c>
      <c r="C34" s="46" t="s">
        <v>696</v>
      </c>
      <c r="D34" s="46" t="s">
        <v>13</v>
      </c>
      <c r="E34" s="47">
        <v>3</v>
      </c>
      <c r="F34" s="47"/>
      <c r="G34" s="46"/>
      <c r="H34" s="46"/>
      <c r="I34" s="47"/>
      <c r="J34" s="47"/>
      <c r="K34" s="47"/>
      <c r="L34" s="46" t="s">
        <v>697</v>
      </c>
      <c r="M34" s="46"/>
      <c r="N34" s="49" t="s">
        <v>849</v>
      </c>
      <c r="O34" s="49"/>
      <c r="P34" s="49"/>
      <c r="Q34" s="44"/>
      <c r="R34" s="44"/>
      <c r="S34" s="49"/>
      <c r="T34" s="49"/>
      <c r="U34" s="49"/>
      <c r="V34" s="49"/>
      <c r="W34" s="49"/>
    </row>
    <row r="35" spans="2:23">
      <c r="B35" s="46" t="s">
        <v>698</v>
      </c>
      <c r="C35" s="46" t="s">
        <v>699</v>
      </c>
      <c r="D35" s="46" t="s">
        <v>13</v>
      </c>
      <c r="E35" s="47">
        <v>2</v>
      </c>
      <c r="F35" s="47"/>
      <c r="G35" s="46"/>
      <c r="H35" s="46"/>
      <c r="I35" s="47"/>
      <c r="J35" s="47"/>
      <c r="K35" s="47"/>
      <c r="L35" s="46" t="s">
        <v>700</v>
      </c>
      <c r="M35" s="46"/>
      <c r="N35" s="49" t="s">
        <v>849</v>
      </c>
      <c r="O35" s="49"/>
      <c r="P35" s="49"/>
      <c r="Q35" s="44"/>
      <c r="R35" s="44"/>
      <c r="S35" s="49"/>
      <c r="T35" s="49"/>
      <c r="U35" s="49"/>
      <c r="V35" s="49"/>
      <c r="W35" s="49"/>
    </row>
    <row r="36" spans="2:23">
      <c r="B36" s="46" t="s">
        <v>701</v>
      </c>
      <c r="C36" s="46" t="s">
        <v>702</v>
      </c>
      <c r="D36" s="46" t="s">
        <v>13</v>
      </c>
      <c r="E36" s="47">
        <v>2</v>
      </c>
      <c r="F36" s="47"/>
      <c r="G36" s="46"/>
      <c r="H36" s="46"/>
      <c r="I36" s="47"/>
      <c r="J36" s="47"/>
      <c r="K36" s="47"/>
      <c r="L36" s="46" t="s">
        <v>700</v>
      </c>
      <c r="M36" s="46"/>
      <c r="N36" s="49" t="s">
        <v>849</v>
      </c>
      <c r="O36" s="49"/>
      <c r="P36" s="49"/>
      <c r="Q36" s="44"/>
      <c r="R36" s="44"/>
      <c r="S36" s="49"/>
      <c r="T36" s="49"/>
      <c r="U36" s="49"/>
      <c r="V36" s="49"/>
      <c r="W36" s="49"/>
    </row>
    <row r="37" spans="2:23">
      <c r="B37" s="46" t="s">
        <v>703</v>
      </c>
      <c r="C37" s="46" t="s">
        <v>704</v>
      </c>
      <c r="D37" s="46" t="s">
        <v>13</v>
      </c>
      <c r="E37" s="47">
        <v>45</v>
      </c>
      <c r="F37" s="47"/>
      <c r="G37" s="46"/>
      <c r="H37" s="46"/>
      <c r="I37" s="47"/>
      <c r="J37" s="47"/>
      <c r="K37" s="47"/>
      <c r="L37" s="46" t="s">
        <v>705</v>
      </c>
      <c r="M37" s="46"/>
      <c r="N37" s="49" t="s">
        <v>849</v>
      </c>
      <c r="O37" s="49"/>
      <c r="P37" s="49"/>
      <c r="Q37" s="44"/>
      <c r="R37" s="44"/>
      <c r="S37" s="49"/>
      <c r="T37" s="49"/>
      <c r="U37" s="49"/>
      <c r="V37" s="49"/>
      <c r="W37" s="49"/>
    </row>
    <row r="38" spans="2:23">
      <c r="B38" s="46" t="s">
        <v>706</v>
      </c>
      <c r="C38" s="46" t="s">
        <v>707</v>
      </c>
      <c r="D38" s="46" t="s">
        <v>13</v>
      </c>
      <c r="E38" s="47">
        <v>5</v>
      </c>
      <c r="F38" s="47"/>
      <c r="G38" s="46"/>
      <c r="H38" s="46"/>
      <c r="I38" s="47"/>
      <c r="J38" s="47"/>
      <c r="K38" s="47"/>
      <c r="L38" s="46" t="s">
        <v>656</v>
      </c>
      <c r="M38" s="46"/>
      <c r="N38" s="49" t="s">
        <v>849</v>
      </c>
      <c r="O38" s="49"/>
      <c r="P38" s="49"/>
      <c r="Q38" s="44"/>
      <c r="R38" s="44"/>
      <c r="S38" s="49"/>
      <c r="T38" s="49"/>
      <c r="U38" s="49"/>
      <c r="V38" s="49"/>
      <c r="W38" s="49"/>
    </row>
    <row r="39" spans="2:23">
      <c r="B39" s="46" t="s">
        <v>708</v>
      </c>
      <c r="C39" s="46" t="s">
        <v>709</v>
      </c>
      <c r="D39" s="46" t="s">
        <v>13</v>
      </c>
      <c r="E39" s="47">
        <v>254</v>
      </c>
      <c r="F39" s="47"/>
      <c r="G39" s="46"/>
      <c r="H39" s="46"/>
      <c r="I39" s="47"/>
      <c r="J39" s="47"/>
      <c r="K39" s="47"/>
      <c r="L39" s="46" t="s">
        <v>710</v>
      </c>
      <c r="M39" s="46"/>
      <c r="N39" s="49" t="s">
        <v>849</v>
      </c>
      <c r="O39" s="49"/>
      <c r="P39" s="49"/>
      <c r="Q39" s="44"/>
      <c r="R39" s="44"/>
      <c r="S39" s="49"/>
      <c r="T39" s="49"/>
      <c r="U39" s="49"/>
      <c r="V39" s="49"/>
      <c r="W39" s="49"/>
    </row>
    <row r="40" spans="2:23">
      <c r="B40" s="46" t="s">
        <v>711</v>
      </c>
      <c r="C40" s="46" t="s">
        <v>712</v>
      </c>
      <c r="D40" s="46" t="s">
        <v>13</v>
      </c>
      <c r="E40" s="47">
        <v>3</v>
      </c>
      <c r="F40" s="47"/>
      <c r="G40" s="46"/>
      <c r="H40" s="46"/>
      <c r="I40" s="47"/>
      <c r="J40" s="47"/>
      <c r="K40" s="47"/>
      <c r="L40" s="46" t="s">
        <v>697</v>
      </c>
      <c r="M40" s="46"/>
      <c r="N40" s="49" t="s">
        <v>849</v>
      </c>
      <c r="O40" s="49"/>
      <c r="P40" s="49"/>
      <c r="Q40" s="44"/>
      <c r="R40" s="44"/>
      <c r="S40" s="49"/>
      <c r="T40" s="49"/>
      <c r="U40" s="49"/>
      <c r="V40" s="49"/>
      <c r="W40" s="49"/>
    </row>
    <row r="41" spans="2:23">
      <c r="B41" s="46" t="s">
        <v>713</v>
      </c>
      <c r="C41" s="46" t="s">
        <v>714</v>
      </c>
      <c r="D41" s="46" t="s">
        <v>13</v>
      </c>
      <c r="E41" s="47">
        <v>15</v>
      </c>
      <c r="F41" s="47"/>
      <c r="G41" s="46"/>
      <c r="H41" s="46"/>
      <c r="I41" s="47"/>
      <c r="J41" s="47"/>
      <c r="K41" s="47"/>
      <c r="L41" s="46" t="s">
        <v>715</v>
      </c>
      <c r="M41" s="46"/>
      <c r="N41" s="49" t="s">
        <v>849</v>
      </c>
      <c r="O41" s="49"/>
      <c r="P41" s="49"/>
      <c r="Q41" s="44"/>
      <c r="R41" s="44"/>
      <c r="S41" s="49"/>
      <c r="T41" s="49"/>
      <c r="U41" s="49"/>
      <c r="V41" s="49"/>
      <c r="W41" s="49"/>
    </row>
    <row r="42" spans="2:23">
      <c r="B42" s="46" t="s">
        <v>716</v>
      </c>
      <c r="C42" s="46" t="s">
        <v>717</v>
      </c>
      <c r="D42" s="46" t="s">
        <v>13</v>
      </c>
      <c r="E42" s="47">
        <v>3</v>
      </c>
      <c r="F42" s="47"/>
      <c r="G42" s="46"/>
      <c r="H42" s="46"/>
      <c r="I42" s="47"/>
      <c r="J42" s="47"/>
      <c r="K42" s="47"/>
      <c r="L42" s="46" t="s">
        <v>697</v>
      </c>
      <c r="M42" s="46"/>
      <c r="N42" s="49" t="s">
        <v>849</v>
      </c>
      <c r="O42" s="49"/>
      <c r="P42" s="49"/>
      <c r="Q42" s="44"/>
      <c r="R42" s="44"/>
      <c r="S42" s="49"/>
      <c r="T42" s="49"/>
      <c r="U42" s="49"/>
      <c r="V42" s="49"/>
      <c r="W42" s="49"/>
    </row>
    <row r="43" spans="2:23">
      <c r="B43" s="46" t="s">
        <v>718</v>
      </c>
      <c r="C43" s="46" t="s">
        <v>719</v>
      </c>
      <c r="D43" s="46" t="s">
        <v>13</v>
      </c>
      <c r="E43" s="47">
        <v>15</v>
      </c>
      <c r="F43" s="47"/>
      <c r="G43" s="46"/>
      <c r="H43" s="46"/>
      <c r="I43" s="47"/>
      <c r="J43" s="47"/>
      <c r="K43" s="47"/>
      <c r="L43" s="46" t="s">
        <v>715</v>
      </c>
      <c r="M43" s="46"/>
      <c r="N43" s="49" t="s">
        <v>849</v>
      </c>
      <c r="O43" s="49"/>
      <c r="P43" s="49"/>
      <c r="Q43" s="44"/>
      <c r="R43" s="44"/>
      <c r="S43" s="49"/>
      <c r="T43" s="49"/>
      <c r="U43" s="49"/>
      <c r="V43" s="49"/>
      <c r="W43" s="49"/>
    </row>
    <row r="44" spans="2:23">
      <c r="B44" s="46" t="s">
        <v>720</v>
      </c>
      <c r="C44" s="46" t="s">
        <v>721</v>
      </c>
      <c r="D44" s="46" t="s">
        <v>13</v>
      </c>
      <c r="E44" s="47">
        <v>3</v>
      </c>
      <c r="F44" s="47"/>
      <c r="G44" s="46"/>
      <c r="H44" s="46"/>
      <c r="I44" s="47"/>
      <c r="J44" s="47"/>
      <c r="K44" s="47"/>
      <c r="L44" s="46" t="s">
        <v>697</v>
      </c>
      <c r="M44" s="46"/>
      <c r="N44" s="49" t="s">
        <v>849</v>
      </c>
      <c r="O44" s="49"/>
      <c r="P44" s="49"/>
      <c r="Q44" s="44"/>
      <c r="R44" s="44"/>
      <c r="S44" s="49"/>
      <c r="T44" s="49"/>
      <c r="U44" s="49"/>
      <c r="V44" s="49"/>
      <c r="W44" s="49"/>
    </row>
    <row r="45" spans="2:23">
      <c r="B45" s="46" t="s">
        <v>722</v>
      </c>
      <c r="C45" s="46" t="s">
        <v>723</v>
      </c>
      <c r="D45" s="46" t="s">
        <v>13</v>
      </c>
      <c r="E45" s="47">
        <v>15</v>
      </c>
      <c r="F45" s="47"/>
      <c r="G45" s="46"/>
      <c r="H45" s="46"/>
      <c r="I45" s="47"/>
      <c r="J45" s="47"/>
      <c r="K45" s="47"/>
      <c r="L45" s="46" t="s">
        <v>715</v>
      </c>
      <c r="M45" s="46"/>
      <c r="N45" s="49" t="s">
        <v>849</v>
      </c>
      <c r="O45" s="49"/>
      <c r="P45" s="49"/>
      <c r="Q45" s="44"/>
      <c r="R45" s="44"/>
      <c r="S45" s="49"/>
      <c r="T45" s="49"/>
      <c r="U45" s="49"/>
      <c r="V45" s="49"/>
      <c r="W45" s="49"/>
    </row>
    <row r="46" spans="2:23">
      <c r="B46" s="46" t="s">
        <v>724</v>
      </c>
      <c r="C46" s="46" t="s">
        <v>725</v>
      </c>
      <c r="D46" s="46" t="s">
        <v>13</v>
      </c>
      <c r="E46" s="47">
        <v>100</v>
      </c>
      <c r="F46" s="47"/>
      <c r="G46" s="46"/>
      <c r="H46" s="46"/>
      <c r="I46" s="47"/>
      <c r="J46" s="47"/>
      <c r="K46" s="47"/>
      <c r="L46" s="46" t="s">
        <v>254</v>
      </c>
      <c r="M46" s="46"/>
      <c r="N46" s="49" t="s">
        <v>849</v>
      </c>
      <c r="O46" s="49"/>
      <c r="P46" s="49"/>
      <c r="Q46" s="44"/>
      <c r="R46" s="44"/>
      <c r="S46" s="49"/>
      <c r="T46" s="49"/>
      <c r="U46" s="49"/>
      <c r="V46" s="49"/>
      <c r="W46" s="49"/>
    </row>
    <row r="47" spans="2:23">
      <c r="B47" s="46" t="s">
        <v>726</v>
      </c>
      <c r="C47" s="46" t="s">
        <v>727</v>
      </c>
      <c r="D47" s="46" t="s">
        <v>13</v>
      </c>
      <c r="E47" s="47">
        <v>3</v>
      </c>
      <c r="F47" s="47"/>
      <c r="G47" s="46"/>
      <c r="H47" s="46"/>
      <c r="I47" s="47"/>
      <c r="J47" s="47"/>
      <c r="K47" s="47"/>
      <c r="L47" s="46" t="s">
        <v>697</v>
      </c>
      <c r="M47" s="46"/>
      <c r="N47" s="49" t="s">
        <v>849</v>
      </c>
      <c r="O47" s="49"/>
      <c r="P47" s="49"/>
      <c r="Q47" s="44"/>
      <c r="R47" s="44"/>
      <c r="S47" s="49"/>
      <c r="T47" s="49"/>
      <c r="U47" s="49"/>
      <c r="V47" s="49"/>
      <c r="W47" s="49"/>
    </row>
    <row r="48" spans="2:23">
      <c r="B48" s="46" t="s">
        <v>728</v>
      </c>
      <c r="C48" s="46" t="s">
        <v>729</v>
      </c>
      <c r="D48" s="46" t="s">
        <v>13</v>
      </c>
      <c r="E48" s="47">
        <v>100</v>
      </c>
      <c r="F48" s="47"/>
      <c r="G48" s="46"/>
      <c r="H48" s="46"/>
      <c r="I48" s="47"/>
      <c r="J48" s="47"/>
      <c r="K48" s="47"/>
      <c r="L48" s="46" t="s">
        <v>254</v>
      </c>
      <c r="M48" s="46"/>
      <c r="N48" s="49" t="s">
        <v>849</v>
      </c>
      <c r="O48" s="49"/>
      <c r="P48" s="49"/>
      <c r="Q48" s="44"/>
      <c r="R48" s="44"/>
      <c r="S48" s="49"/>
      <c r="T48" s="49"/>
      <c r="U48" s="49"/>
      <c r="V48" s="49"/>
      <c r="W48" s="49"/>
    </row>
    <row r="49" spans="2:23">
      <c r="B49" s="46" t="s">
        <v>730</v>
      </c>
      <c r="C49" s="46" t="s">
        <v>731</v>
      </c>
      <c r="D49" s="46" t="s">
        <v>13</v>
      </c>
      <c r="E49" s="47">
        <v>100</v>
      </c>
      <c r="F49" s="47"/>
      <c r="G49" s="46"/>
      <c r="H49" s="46"/>
      <c r="I49" s="47"/>
      <c r="J49" s="47"/>
      <c r="K49" s="47"/>
      <c r="L49" s="46" t="s">
        <v>254</v>
      </c>
      <c r="M49" s="46"/>
      <c r="N49" s="49" t="s">
        <v>849</v>
      </c>
      <c r="O49" s="49"/>
      <c r="P49" s="49"/>
      <c r="Q49" s="44"/>
      <c r="R49" s="44"/>
      <c r="S49" s="49"/>
      <c r="T49" s="49"/>
      <c r="U49" s="49"/>
      <c r="V49" s="49"/>
      <c r="W49" s="49"/>
    </row>
    <row r="50" spans="2:23">
      <c r="B50" s="46" t="s">
        <v>732</v>
      </c>
      <c r="C50" s="46" t="s">
        <v>733</v>
      </c>
      <c r="D50" s="46" t="s">
        <v>13</v>
      </c>
      <c r="E50" s="47">
        <v>100</v>
      </c>
      <c r="F50" s="47"/>
      <c r="G50" s="46"/>
      <c r="H50" s="46"/>
      <c r="I50" s="47"/>
      <c r="J50" s="47"/>
      <c r="K50" s="47"/>
      <c r="L50" s="46" t="s">
        <v>254</v>
      </c>
      <c r="M50" s="46"/>
      <c r="N50" s="49" t="s">
        <v>849</v>
      </c>
      <c r="O50" s="49"/>
      <c r="P50" s="49"/>
      <c r="Q50" s="44"/>
      <c r="R50" s="44"/>
      <c r="S50" s="49"/>
      <c r="T50" s="49"/>
      <c r="U50" s="49"/>
      <c r="V50" s="49"/>
      <c r="W50" s="49"/>
    </row>
    <row r="51" spans="2:23">
      <c r="B51" s="46" t="s">
        <v>734</v>
      </c>
      <c r="C51" s="46" t="s">
        <v>735</v>
      </c>
      <c r="D51" s="46" t="s">
        <v>13</v>
      </c>
      <c r="E51" s="47">
        <v>16</v>
      </c>
      <c r="F51" s="47"/>
      <c r="G51" s="46"/>
      <c r="H51" s="46"/>
      <c r="I51" s="47"/>
      <c r="J51" s="47"/>
      <c r="K51" s="47"/>
      <c r="L51" s="46" t="s">
        <v>649</v>
      </c>
      <c r="M51" s="46"/>
      <c r="N51" s="49" t="s">
        <v>849</v>
      </c>
      <c r="O51" s="49"/>
      <c r="P51" s="49"/>
      <c r="Q51" s="44"/>
      <c r="R51" s="44"/>
      <c r="S51" s="49"/>
      <c r="T51" s="49"/>
      <c r="U51" s="49"/>
      <c r="V51" s="49"/>
      <c r="W51" s="49"/>
    </row>
    <row r="52" spans="2:23">
      <c r="B52" s="46" t="s">
        <v>736</v>
      </c>
      <c r="C52" s="46" t="s">
        <v>737</v>
      </c>
      <c r="D52" s="46" t="s">
        <v>13</v>
      </c>
      <c r="E52" s="47">
        <v>3</v>
      </c>
      <c r="F52" s="47"/>
      <c r="G52" s="46"/>
      <c r="H52" s="46"/>
      <c r="I52" s="47"/>
      <c r="J52" s="47"/>
      <c r="K52" s="47"/>
      <c r="L52" s="46" t="s">
        <v>697</v>
      </c>
      <c r="M52" s="46"/>
      <c r="N52" s="49" t="s">
        <v>849</v>
      </c>
      <c r="O52" s="49"/>
      <c r="P52" s="49"/>
      <c r="Q52" s="44"/>
      <c r="R52" s="44"/>
      <c r="S52" s="49"/>
      <c r="T52" s="49"/>
      <c r="U52" s="49"/>
      <c r="V52" s="49"/>
      <c r="W52" s="49"/>
    </row>
    <row r="53" spans="2:23">
      <c r="B53" s="46" t="s">
        <v>738</v>
      </c>
      <c r="C53" s="46" t="s">
        <v>739</v>
      </c>
      <c r="D53" s="46" t="s">
        <v>13</v>
      </c>
      <c r="E53" s="47">
        <v>100</v>
      </c>
      <c r="F53" s="47"/>
      <c r="G53" s="46"/>
      <c r="H53" s="46"/>
      <c r="I53" s="47"/>
      <c r="J53" s="47"/>
      <c r="K53" s="47"/>
      <c r="L53" s="46" t="s">
        <v>254</v>
      </c>
      <c r="M53" s="46"/>
      <c r="N53" s="49" t="s">
        <v>849</v>
      </c>
      <c r="O53" s="49"/>
      <c r="P53" s="49"/>
      <c r="Q53" s="44"/>
      <c r="R53" s="44"/>
      <c r="S53" s="49"/>
      <c r="T53" s="49"/>
      <c r="U53" s="49"/>
      <c r="V53" s="49"/>
      <c r="W53" s="49"/>
    </row>
    <row r="54" spans="2:23">
      <c r="B54" s="46" t="s">
        <v>740</v>
      </c>
      <c r="C54" s="46" t="s">
        <v>741</v>
      </c>
      <c r="D54" s="46" t="s">
        <v>13</v>
      </c>
      <c r="E54" s="47">
        <v>3</v>
      </c>
      <c r="F54" s="47"/>
      <c r="G54" s="46"/>
      <c r="H54" s="46"/>
      <c r="I54" s="47"/>
      <c r="J54" s="47"/>
      <c r="K54" s="47"/>
      <c r="L54" s="46" t="s">
        <v>697</v>
      </c>
      <c r="M54" s="46"/>
      <c r="N54" s="49" t="s">
        <v>849</v>
      </c>
      <c r="O54" s="49"/>
      <c r="P54" s="49"/>
      <c r="Q54" s="44"/>
      <c r="R54" s="44"/>
      <c r="S54" s="49"/>
      <c r="T54" s="49"/>
      <c r="U54" s="49"/>
      <c r="V54" s="49"/>
      <c r="W54" s="49"/>
    </row>
    <row r="55" spans="2:23">
      <c r="B55" s="46" t="s">
        <v>742</v>
      </c>
      <c r="C55" s="46" t="s">
        <v>743</v>
      </c>
      <c r="D55" s="46" t="s">
        <v>13</v>
      </c>
      <c r="E55" s="47">
        <v>100</v>
      </c>
      <c r="F55" s="47"/>
      <c r="G55" s="46"/>
      <c r="H55" s="46"/>
      <c r="I55" s="47"/>
      <c r="J55" s="47"/>
      <c r="K55" s="47"/>
      <c r="L55" s="46" t="s">
        <v>254</v>
      </c>
      <c r="M55" s="46"/>
      <c r="N55" s="49" t="s">
        <v>849</v>
      </c>
      <c r="O55" s="49"/>
      <c r="P55" s="49"/>
      <c r="Q55" s="44"/>
      <c r="R55" s="44"/>
      <c r="S55" s="49"/>
      <c r="T55" s="49"/>
      <c r="U55" s="49"/>
      <c r="V55" s="49"/>
      <c r="W55" s="49"/>
    </row>
    <row r="56" spans="2:23">
      <c r="B56" s="46" t="s">
        <v>744</v>
      </c>
      <c r="C56" s="46" t="s">
        <v>745</v>
      </c>
      <c r="D56" s="46" t="s">
        <v>13</v>
      </c>
      <c r="E56" s="47">
        <v>100</v>
      </c>
      <c r="F56" s="47"/>
      <c r="G56" s="46"/>
      <c r="H56" s="46"/>
      <c r="I56" s="47"/>
      <c r="J56" s="47"/>
      <c r="K56" s="47"/>
      <c r="L56" s="46" t="s">
        <v>254</v>
      </c>
      <c r="M56" s="46"/>
      <c r="N56" s="49" t="s">
        <v>849</v>
      </c>
      <c r="O56" s="49"/>
      <c r="P56" s="49"/>
      <c r="Q56" s="44"/>
      <c r="R56" s="44"/>
      <c r="S56" s="49"/>
      <c r="T56" s="49"/>
      <c r="U56" s="49"/>
      <c r="V56" s="49"/>
      <c r="W56" s="49"/>
    </row>
    <row r="57" spans="2:23">
      <c r="B57" s="46" t="s">
        <v>746</v>
      </c>
      <c r="C57" s="46" t="s">
        <v>747</v>
      </c>
      <c r="D57" s="46" t="s">
        <v>13</v>
      </c>
      <c r="E57" s="47">
        <v>100</v>
      </c>
      <c r="F57" s="47"/>
      <c r="G57" s="46"/>
      <c r="H57" s="46"/>
      <c r="I57" s="47"/>
      <c r="J57" s="47"/>
      <c r="K57" s="47"/>
      <c r="L57" s="46" t="s">
        <v>254</v>
      </c>
      <c r="M57" s="46"/>
      <c r="N57" s="49" t="s">
        <v>849</v>
      </c>
      <c r="O57" s="49"/>
      <c r="P57" s="49"/>
      <c r="Q57" s="44"/>
      <c r="R57" s="44"/>
      <c r="S57" s="49"/>
      <c r="T57" s="49"/>
      <c r="U57" s="49"/>
      <c r="V57" s="49"/>
      <c r="W57" s="49"/>
    </row>
    <row r="58" spans="2:23">
      <c r="B58" s="46" t="s">
        <v>748</v>
      </c>
      <c r="C58" s="46" t="s">
        <v>749</v>
      </c>
      <c r="D58" s="46" t="s">
        <v>13</v>
      </c>
      <c r="E58" s="47">
        <v>16</v>
      </c>
      <c r="F58" s="47"/>
      <c r="G58" s="46"/>
      <c r="H58" s="46"/>
      <c r="I58" s="47"/>
      <c r="J58" s="47"/>
      <c r="K58" s="47"/>
      <c r="L58" s="46" t="s">
        <v>649</v>
      </c>
      <c r="M58" s="46"/>
      <c r="N58" s="49" t="s">
        <v>849</v>
      </c>
      <c r="O58" s="49"/>
      <c r="P58" s="49"/>
      <c r="Q58" s="44"/>
      <c r="R58" s="44"/>
      <c r="S58" s="49"/>
      <c r="T58" s="49"/>
      <c r="U58" s="49"/>
      <c r="V58" s="49"/>
      <c r="W58" s="49"/>
    </row>
    <row r="59" spans="2:23">
      <c r="B59" s="46" t="s">
        <v>750</v>
      </c>
      <c r="C59" s="46" t="s">
        <v>751</v>
      </c>
      <c r="D59" s="46" t="s">
        <v>13</v>
      </c>
      <c r="E59" s="47">
        <v>3</v>
      </c>
      <c r="F59" s="47"/>
      <c r="G59" s="46"/>
      <c r="H59" s="46"/>
      <c r="I59" s="47"/>
      <c r="J59" s="47"/>
      <c r="K59" s="47"/>
      <c r="L59" s="46" t="s">
        <v>697</v>
      </c>
      <c r="M59" s="46"/>
      <c r="N59" s="49" t="s">
        <v>849</v>
      </c>
      <c r="O59" s="49"/>
      <c r="P59" s="49"/>
      <c r="Q59" s="44"/>
      <c r="R59" s="44"/>
      <c r="S59" s="49"/>
      <c r="T59" s="49"/>
      <c r="U59" s="49"/>
      <c r="V59" s="49"/>
      <c r="W59" s="49"/>
    </row>
    <row r="60" spans="2:23">
      <c r="B60" s="46" t="s">
        <v>752</v>
      </c>
      <c r="C60" s="46" t="s">
        <v>753</v>
      </c>
      <c r="D60" s="46" t="s">
        <v>13</v>
      </c>
      <c r="E60" s="47">
        <v>45</v>
      </c>
      <c r="F60" s="47"/>
      <c r="G60" s="46"/>
      <c r="H60" s="46"/>
      <c r="I60" s="47"/>
      <c r="J60" s="47"/>
      <c r="K60" s="47"/>
      <c r="L60" s="46" t="s">
        <v>705</v>
      </c>
      <c r="M60" s="46"/>
      <c r="N60" s="49" t="s">
        <v>849</v>
      </c>
      <c r="O60" s="49"/>
      <c r="P60" s="49"/>
      <c r="Q60" s="44"/>
      <c r="R60" s="44"/>
      <c r="S60" s="49"/>
      <c r="T60" s="49"/>
      <c r="U60" s="49"/>
      <c r="V60" s="49"/>
      <c r="W60" s="49"/>
    </row>
    <row r="61" spans="2:23">
      <c r="B61" s="46" t="s">
        <v>754</v>
      </c>
      <c r="C61" s="46" t="s">
        <v>755</v>
      </c>
      <c r="D61" s="46" t="s">
        <v>13</v>
      </c>
      <c r="E61" s="47">
        <v>5</v>
      </c>
      <c r="F61" s="47"/>
      <c r="G61" s="46"/>
      <c r="H61" s="46"/>
      <c r="I61" s="47"/>
      <c r="J61" s="47"/>
      <c r="K61" s="47"/>
      <c r="L61" s="46" t="s">
        <v>656</v>
      </c>
      <c r="M61" s="46"/>
      <c r="N61" s="49" t="s">
        <v>849</v>
      </c>
      <c r="O61" s="49"/>
      <c r="P61" s="49"/>
      <c r="Q61" s="44"/>
      <c r="R61" s="44"/>
      <c r="S61" s="49"/>
      <c r="T61" s="49"/>
      <c r="U61" s="49"/>
      <c r="V61" s="49"/>
      <c r="W61" s="49"/>
    </row>
    <row r="62" spans="2:23">
      <c r="B62" s="46" t="s">
        <v>756</v>
      </c>
      <c r="C62" s="46" t="s">
        <v>757</v>
      </c>
      <c r="D62" s="46" t="s">
        <v>13</v>
      </c>
      <c r="E62" s="47">
        <v>10</v>
      </c>
      <c r="F62" s="47"/>
      <c r="G62" s="46"/>
      <c r="H62" s="46"/>
      <c r="I62" s="47"/>
      <c r="J62" s="47"/>
      <c r="K62" s="47"/>
      <c r="L62" s="46" t="s">
        <v>234</v>
      </c>
      <c r="M62" s="46"/>
      <c r="N62" s="49" t="s">
        <v>850</v>
      </c>
      <c r="O62" s="49"/>
      <c r="P62" s="49"/>
      <c r="Q62" s="44"/>
      <c r="R62" s="44"/>
      <c r="S62" s="49"/>
      <c r="T62" s="49"/>
      <c r="U62" s="49"/>
      <c r="V62" s="49"/>
      <c r="W62" s="49"/>
    </row>
    <row r="63" spans="2:23">
      <c r="B63" s="46" t="s">
        <v>758</v>
      </c>
      <c r="C63" s="46" t="s">
        <v>639</v>
      </c>
      <c r="D63" s="46" t="s">
        <v>13</v>
      </c>
      <c r="E63" s="47">
        <v>32</v>
      </c>
      <c r="F63" s="47"/>
      <c r="G63" s="46"/>
      <c r="H63" s="46"/>
      <c r="I63" s="47"/>
      <c r="J63" s="47"/>
      <c r="K63" s="47"/>
      <c r="L63" s="46" t="s">
        <v>759</v>
      </c>
      <c r="M63" s="46"/>
      <c r="N63" s="49" t="s">
        <v>850</v>
      </c>
      <c r="O63" s="49"/>
      <c r="P63" s="49"/>
      <c r="Q63" s="44"/>
      <c r="R63" s="44"/>
      <c r="S63" s="49"/>
      <c r="T63" s="49"/>
      <c r="U63" s="49"/>
      <c r="V63" s="49"/>
      <c r="W63" s="49"/>
    </row>
    <row r="64" spans="2:23">
      <c r="B64" s="46" t="s">
        <v>760</v>
      </c>
      <c r="C64" s="46" t="s">
        <v>761</v>
      </c>
      <c r="D64" s="46" t="s">
        <v>13</v>
      </c>
      <c r="E64" s="47">
        <v>16</v>
      </c>
      <c r="F64" s="47"/>
      <c r="G64" s="46"/>
      <c r="H64" s="46"/>
      <c r="I64" s="47"/>
      <c r="J64" s="47"/>
      <c r="K64" s="47"/>
      <c r="L64" s="46" t="s">
        <v>649</v>
      </c>
      <c r="M64" s="46"/>
      <c r="N64" s="49" t="s">
        <v>850</v>
      </c>
      <c r="O64" s="49"/>
      <c r="P64" s="49"/>
      <c r="Q64" s="44"/>
      <c r="R64" s="44"/>
      <c r="S64" s="49"/>
      <c r="T64" s="49"/>
      <c r="U64" s="49"/>
      <c r="V64" s="49"/>
      <c r="W64" s="49"/>
    </row>
    <row r="65" spans="2:23">
      <c r="B65" s="46" t="s">
        <v>762</v>
      </c>
      <c r="C65" s="46" t="s">
        <v>763</v>
      </c>
      <c r="D65" s="46" t="s">
        <v>13</v>
      </c>
      <c r="E65" s="47">
        <v>8000</v>
      </c>
      <c r="F65" s="47"/>
      <c r="G65" s="46"/>
      <c r="H65" s="46"/>
      <c r="I65" s="47"/>
      <c r="J65" s="47"/>
      <c r="K65" s="47"/>
      <c r="L65" s="46" t="s">
        <v>764</v>
      </c>
      <c r="M65" s="46"/>
      <c r="N65" s="49" t="s">
        <v>850</v>
      </c>
      <c r="O65" s="49"/>
      <c r="P65" s="49"/>
      <c r="Q65" s="44"/>
      <c r="R65" s="44"/>
      <c r="S65" s="49"/>
      <c r="T65" s="49"/>
      <c r="U65" s="49"/>
      <c r="V65" s="49"/>
      <c r="W65" s="49"/>
    </row>
    <row r="66" spans="2:23">
      <c r="B66" s="46" t="s">
        <v>765</v>
      </c>
      <c r="C66" s="46" t="s">
        <v>766</v>
      </c>
      <c r="D66" s="46" t="s">
        <v>13</v>
      </c>
      <c r="E66" s="47">
        <v>100</v>
      </c>
      <c r="F66" s="47"/>
      <c r="G66" s="46"/>
      <c r="H66" s="46"/>
      <c r="I66" s="47"/>
      <c r="J66" s="47"/>
      <c r="K66" s="47"/>
      <c r="L66" s="46" t="s">
        <v>254</v>
      </c>
      <c r="M66" s="46"/>
      <c r="N66" s="49" t="s">
        <v>850</v>
      </c>
      <c r="O66" s="49"/>
      <c r="P66" s="49"/>
      <c r="Q66" s="44"/>
      <c r="R66" s="44"/>
      <c r="S66" s="49"/>
      <c r="T66" s="49"/>
      <c r="U66" s="49"/>
      <c r="V66" s="49"/>
      <c r="W66" s="49"/>
    </row>
    <row r="67" spans="2:23">
      <c r="B67" s="46" t="s">
        <v>767</v>
      </c>
      <c r="C67" s="46" t="s">
        <v>768</v>
      </c>
      <c r="D67" s="46" t="s">
        <v>13</v>
      </c>
      <c r="E67" s="47">
        <v>100</v>
      </c>
      <c r="F67" s="47"/>
      <c r="G67" s="46"/>
      <c r="H67" s="46"/>
      <c r="I67" s="47"/>
      <c r="J67" s="47"/>
      <c r="K67" s="47"/>
      <c r="L67" s="46" t="s">
        <v>254</v>
      </c>
      <c r="M67" s="46"/>
      <c r="N67" s="49" t="s">
        <v>850</v>
      </c>
      <c r="O67" s="49"/>
      <c r="P67" s="49"/>
      <c r="Q67" s="44"/>
      <c r="R67" s="44"/>
      <c r="S67" s="49"/>
      <c r="T67" s="49"/>
      <c r="U67" s="49"/>
      <c r="V67" s="49"/>
      <c r="W67" s="49"/>
    </row>
    <row r="68" spans="2:23">
      <c r="B68" s="46" t="s">
        <v>769</v>
      </c>
      <c r="C68" s="46" t="s">
        <v>770</v>
      </c>
      <c r="D68" s="46" t="s">
        <v>13</v>
      </c>
      <c r="E68" s="47">
        <v>5</v>
      </c>
      <c r="F68" s="47"/>
      <c r="G68" s="46"/>
      <c r="H68" s="46"/>
      <c r="I68" s="47"/>
      <c r="J68" s="47"/>
      <c r="K68" s="47"/>
      <c r="L68" s="46" t="s">
        <v>656</v>
      </c>
      <c r="M68" s="46"/>
      <c r="N68" s="49" t="s">
        <v>850</v>
      </c>
      <c r="O68" s="49"/>
      <c r="P68" s="49"/>
      <c r="Q68" s="44"/>
      <c r="R68" s="44"/>
      <c r="S68" s="49"/>
      <c r="T68" s="49"/>
      <c r="U68" s="49"/>
      <c r="V68" s="49"/>
      <c r="W68" s="49"/>
    </row>
    <row r="69" spans="2:23">
      <c r="B69" s="46" t="s">
        <v>771</v>
      </c>
      <c r="C69" s="46" t="s">
        <v>772</v>
      </c>
      <c r="D69" s="46" t="s">
        <v>13</v>
      </c>
      <c r="E69" s="47">
        <v>6</v>
      </c>
      <c r="F69" s="47"/>
      <c r="G69" s="46"/>
      <c r="H69" s="46"/>
      <c r="I69" s="47"/>
      <c r="J69" s="47"/>
      <c r="K69" s="47"/>
      <c r="L69" s="46" t="s">
        <v>773</v>
      </c>
      <c r="M69" s="46"/>
      <c r="N69" s="49" t="s">
        <v>850</v>
      </c>
      <c r="O69" s="49"/>
      <c r="P69" s="49"/>
      <c r="Q69" s="44"/>
      <c r="R69" s="44"/>
      <c r="S69" s="49"/>
      <c r="T69" s="49"/>
      <c r="U69" s="49"/>
      <c r="V69" s="49"/>
      <c r="W69" s="49"/>
    </row>
    <row r="70" spans="2:23">
      <c r="B70" s="46" t="s">
        <v>774</v>
      </c>
      <c r="C70" s="46" t="s">
        <v>775</v>
      </c>
      <c r="D70" s="46" t="s">
        <v>13</v>
      </c>
      <c r="E70" s="47">
        <v>16</v>
      </c>
      <c r="F70" s="47"/>
      <c r="G70" s="46"/>
      <c r="H70" s="46"/>
      <c r="I70" s="47"/>
      <c r="J70" s="47"/>
      <c r="K70" s="47"/>
      <c r="L70" s="46" t="s">
        <v>649</v>
      </c>
      <c r="M70" s="46"/>
      <c r="N70" s="49" t="s">
        <v>850</v>
      </c>
      <c r="O70" s="49"/>
      <c r="P70" s="49"/>
      <c r="Q70" s="44"/>
      <c r="R70" s="44"/>
      <c r="S70" s="49"/>
      <c r="T70" s="49"/>
      <c r="U70" s="49"/>
      <c r="V70" s="49"/>
      <c r="W70" s="49"/>
    </row>
    <row r="71" spans="2:23">
      <c r="B71" s="46" t="s">
        <v>776</v>
      </c>
      <c r="C71" s="46" t="s">
        <v>777</v>
      </c>
      <c r="D71" s="46" t="s">
        <v>13</v>
      </c>
      <c r="E71" s="47">
        <v>5</v>
      </c>
      <c r="F71" s="47"/>
      <c r="G71" s="46"/>
      <c r="H71" s="46"/>
      <c r="I71" s="47"/>
      <c r="J71" s="47"/>
      <c r="K71" s="47"/>
      <c r="L71" s="46" t="s">
        <v>656</v>
      </c>
      <c r="M71" s="46"/>
      <c r="N71" s="49" t="s">
        <v>850</v>
      </c>
      <c r="O71" s="49"/>
      <c r="P71" s="49"/>
      <c r="Q71" s="44"/>
      <c r="R71" s="44"/>
      <c r="S71" s="49"/>
      <c r="T71" s="49"/>
      <c r="U71" s="49"/>
      <c r="V71" s="49"/>
      <c r="W71" s="49"/>
    </row>
    <row r="72" spans="2:23">
      <c r="B72" s="46" t="s">
        <v>778</v>
      </c>
      <c r="C72" s="46" t="s">
        <v>779</v>
      </c>
      <c r="D72" s="46" t="s">
        <v>13</v>
      </c>
      <c r="E72" s="47">
        <v>12</v>
      </c>
      <c r="F72" s="47"/>
      <c r="G72" s="46"/>
      <c r="H72" s="46"/>
      <c r="I72" s="47"/>
      <c r="J72" s="47"/>
      <c r="K72" s="47"/>
      <c r="L72" s="46" t="s">
        <v>780</v>
      </c>
      <c r="M72" s="46"/>
      <c r="N72" s="49" t="s">
        <v>850</v>
      </c>
      <c r="O72" s="49"/>
      <c r="P72" s="49"/>
      <c r="Q72" s="44"/>
      <c r="R72" s="44"/>
      <c r="S72" s="49"/>
      <c r="T72" s="49"/>
      <c r="U72" s="49"/>
      <c r="V72" s="49"/>
      <c r="W72" s="49"/>
    </row>
    <row r="73" spans="2:23">
      <c r="B73" s="46" t="s">
        <v>781</v>
      </c>
      <c r="C73" s="46" t="s">
        <v>782</v>
      </c>
      <c r="D73" s="46" t="s">
        <v>13</v>
      </c>
      <c r="E73" s="47">
        <v>83</v>
      </c>
      <c r="F73" s="47"/>
      <c r="G73" s="46"/>
      <c r="H73" s="46"/>
      <c r="I73" s="47"/>
      <c r="J73" s="47"/>
      <c r="K73" s="47"/>
      <c r="L73" s="46" t="s">
        <v>678</v>
      </c>
      <c r="M73" s="46"/>
      <c r="N73" s="49" t="s">
        <v>850</v>
      </c>
      <c r="O73" s="49"/>
      <c r="P73" s="49"/>
      <c r="Q73" s="44"/>
      <c r="R73" s="44"/>
      <c r="S73" s="49"/>
      <c r="T73" s="49"/>
      <c r="U73" s="49"/>
      <c r="V73" s="49"/>
      <c r="W73" s="49"/>
    </row>
    <row r="74" spans="2:23">
      <c r="B74" s="46" t="s">
        <v>783</v>
      </c>
      <c r="C74" s="46" t="s">
        <v>784</v>
      </c>
      <c r="D74" s="46" t="s">
        <v>13</v>
      </c>
      <c r="E74" s="47">
        <v>5</v>
      </c>
      <c r="F74" s="47"/>
      <c r="G74" s="46"/>
      <c r="H74" s="46"/>
      <c r="I74" s="47"/>
      <c r="J74" s="47"/>
      <c r="K74" s="47"/>
      <c r="L74" s="46" t="s">
        <v>656</v>
      </c>
      <c r="M74" s="46"/>
      <c r="N74" s="49" t="s">
        <v>850</v>
      </c>
      <c r="O74" s="49"/>
      <c r="P74" s="49"/>
      <c r="Q74" s="44"/>
      <c r="R74" s="44"/>
      <c r="S74" s="49"/>
      <c r="T74" s="49"/>
      <c r="U74" s="49"/>
      <c r="V74" s="49"/>
      <c r="W74" s="49"/>
    </row>
    <row r="75" spans="2:23">
      <c r="B75" s="46" t="s">
        <v>785</v>
      </c>
      <c r="C75" s="46" t="s">
        <v>786</v>
      </c>
      <c r="D75" s="46" t="s">
        <v>13</v>
      </c>
      <c r="E75" s="47">
        <v>4</v>
      </c>
      <c r="F75" s="47"/>
      <c r="G75" s="46"/>
      <c r="H75" s="46"/>
      <c r="I75" s="47"/>
      <c r="J75" s="47"/>
      <c r="K75" s="47"/>
      <c r="L75" s="46" t="s">
        <v>683</v>
      </c>
      <c r="M75" s="46"/>
      <c r="N75" s="49" t="s">
        <v>850</v>
      </c>
      <c r="O75" s="49"/>
      <c r="P75" s="49"/>
      <c r="Q75" s="44"/>
      <c r="R75" s="44"/>
      <c r="S75" s="49"/>
      <c r="T75" s="49"/>
      <c r="U75" s="49"/>
      <c r="V75" s="49"/>
      <c r="W75" s="49"/>
    </row>
    <row r="76" spans="2:23">
      <c r="B76" s="46" t="s">
        <v>787</v>
      </c>
      <c r="C76" s="46" t="s">
        <v>788</v>
      </c>
      <c r="D76" s="46" t="s">
        <v>13</v>
      </c>
      <c r="E76" s="47">
        <v>1024</v>
      </c>
      <c r="F76" s="47"/>
      <c r="G76" s="46"/>
      <c r="H76" s="46"/>
      <c r="I76" s="47"/>
      <c r="J76" s="47"/>
      <c r="K76" s="47"/>
      <c r="L76" s="46" t="s">
        <v>686</v>
      </c>
      <c r="M76" s="46"/>
      <c r="N76" s="49" t="s">
        <v>850</v>
      </c>
      <c r="O76" s="49"/>
      <c r="P76" s="49"/>
      <c r="Q76" s="44"/>
      <c r="R76" s="44"/>
      <c r="S76" s="49"/>
      <c r="T76" s="49"/>
      <c r="U76" s="49"/>
      <c r="V76" s="49"/>
      <c r="W76" s="49"/>
    </row>
    <row r="77" spans="2:23">
      <c r="B77" s="46" t="s">
        <v>789</v>
      </c>
      <c r="C77" s="46" t="s">
        <v>790</v>
      </c>
      <c r="D77" s="46" t="s">
        <v>13</v>
      </c>
      <c r="E77" s="47">
        <v>8000</v>
      </c>
      <c r="F77" s="47"/>
      <c r="G77" s="46"/>
      <c r="H77" s="46"/>
      <c r="I77" s="47"/>
      <c r="J77" s="47"/>
      <c r="K77" s="47"/>
      <c r="L77" s="46" t="s">
        <v>764</v>
      </c>
      <c r="M77" s="46"/>
      <c r="N77" s="49" t="s">
        <v>850</v>
      </c>
      <c r="O77" s="49"/>
      <c r="P77" s="49"/>
      <c r="Q77" s="44"/>
      <c r="R77" s="44"/>
      <c r="S77" s="49"/>
      <c r="T77" s="49"/>
      <c r="U77" s="49"/>
      <c r="V77" s="49"/>
      <c r="W77" s="49"/>
    </row>
    <row r="78" spans="2:23">
      <c r="B78" s="46" t="s">
        <v>791</v>
      </c>
      <c r="C78" s="46" t="s">
        <v>792</v>
      </c>
      <c r="D78" s="46" t="s">
        <v>13</v>
      </c>
      <c r="E78" s="47">
        <v>8000</v>
      </c>
      <c r="F78" s="47"/>
      <c r="G78" s="46"/>
      <c r="H78" s="46"/>
      <c r="I78" s="47"/>
      <c r="J78" s="47"/>
      <c r="K78" s="47"/>
      <c r="L78" s="46" t="s">
        <v>764</v>
      </c>
      <c r="M78" s="46"/>
      <c r="N78" s="49" t="s">
        <v>850</v>
      </c>
      <c r="O78" s="49"/>
      <c r="P78" s="49"/>
      <c r="Q78" s="44"/>
      <c r="R78" s="44"/>
      <c r="S78" s="49"/>
      <c r="T78" s="49"/>
      <c r="U78" s="49"/>
      <c r="V78" s="49"/>
      <c r="W78" s="49"/>
    </row>
    <row r="79" spans="2:23">
      <c r="B79" s="46" t="s">
        <v>793</v>
      </c>
      <c r="C79" s="46" t="s">
        <v>794</v>
      </c>
      <c r="D79" s="46" t="s">
        <v>13</v>
      </c>
      <c r="E79" s="47" t="s">
        <v>505</v>
      </c>
      <c r="F79" s="47"/>
      <c r="G79" s="46"/>
      <c r="H79" s="46"/>
      <c r="I79" s="47"/>
      <c r="J79" s="47"/>
      <c r="K79" s="47"/>
      <c r="L79" s="46" t="s">
        <v>204</v>
      </c>
      <c r="M79" s="46"/>
      <c r="N79" s="49" t="s">
        <v>850</v>
      </c>
      <c r="O79" s="49"/>
      <c r="P79" s="49"/>
      <c r="Q79" s="44"/>
      <c r="R79" s="44"/>
      <c r="S79" s="49"/>
      <c r="T79" s="49"/>
      <c r="U79" s="49"/>
      <c r="V79" s="49"/>
      <c r="W79" s="49"/>
    </row>
    <row r="80" spans="2:23">
      <c r="B80" s="46" t="s">
        <v>795</v>
      </c>
      <c r="C80" s="46" t="s">
        <v>796</v>
      </c>
      <c r="D80" s="46" t="s">
        <v>13</v>
      </c>
      <c r="E80" s="47">
        <v>2</v>
      </c>
      <c r="F80" s="47"/>
      <c r="G80" s="46"/>
      <c r="H80" s="46"/>
      <c r="I80" s="47"/>
      <c r="J80" s="47"/>
      <c r="K80" s="47"/>
      <c r="L80" s="46" t="s">
        <v>700</v>
      </c>
      <c r="M80" s="46"/>
      <c r="N80" s="49" t="s">
        <v>850</v>
      </c>
      <c r="O80" s="49"/>
      <c r="P80" s="49"/>
      <c r="Q80" s="44"/>
      <c r="R80" s="44"/>
      <c r="S80" s="49"/>
      <c r="T80" s="49"/>
      <c r="U80" s="49"/>
      <c r="V80" s="49"/>
      <c r="W80" s="49"/>
    </row>
    <row r="81" spans="2:23">
      <c r="B81" s="46" t="s">
        <v>797</v>
      </c>
      <c r="C81" s="46" t="s">
        <v>798</v>
      </c>
      <c r="D81" s="46" t="s">
        <v>13</v>
      </c>
      <c r="E81" s="47">
        <v>2</v>
      </c>
      <c r="F81" s="47"/>
      <c r="G81" s="46"/>
      <c r="H81" s="46"/>
      <c r="I81" s="47"/>
      <c r="J81" s="47"/>
      <c r="K81" s="47"/>
      <c r="L81" s="46" t="s">
        <v>700</v>
      </c>
      <c r="M81" s="46"/>
      <c r="N81" s="49" t="s">
        <v>850</v>
      </c>
      <c r="O81" s="49"/>
      <c r="P81" s="49"/>
      <c r="Q81" s="44"/>
      <c r="R81" s="44"/>
      <c r="S81" s="49"/>
      <c r="T81" s="49"/>
      <c r="U81" s="49"/>
      <c r="V81" s="49"/>
      <c r="W81" s="49"/>
    </row>
    <row r="82" spans="2:23">
      <c r="B82" s="46" t="s">
        <v>799</v>
      </c>
      <c r="C82" s="46" t="s">
        <v>800</v>
      </c>
      <c r="D82" s="46" t="s">
        <v>13</v>
      </c>
      <c r="E82" s="47">
        <v>10</v>
      </c>
      <c r="F82" s="47"/>
      <c r="G82" s="46"/>
      <c r="H82" s="46"/>
      <c r="I82" s="47"/>
      <c r="J82" s="47"/>
      <c r="K82" s="47"/>
      <c r="L82" s="46" t="s">
        <v>234</v>
      </c>
      <c r="M82" s="46"/>
      <c r="N82" s="49" t="s">
        <v>850</v>
      </c>
      <c r="O82" s="49"/>
      <c r="P82" s="49"/>
      <c r="Q82" s="44"/>
      <c r="R82" s="44"/>
      <c r="S82" s="49"/>
      <c r="T82" s="49"/>
      <c r="U82" s="49"/>
      <c r="V82" s="49"/>
      <c r="W82" s="49"/>
    </row>
    <row r="83" spans="2:23">
      <c r="B83" s="46" t="s">
        <v>801</v>
      </c>
      <c r="C83" s="46" t="s">
        <v>802</v>
      </c>
      <c r="D83" s="46" t="s">
        <v>13</v>
      </c>
      <c r="E83" s="47">
        <v>28</v>
      </c>
      <c r="F83" s="47"/>
      <c r="G83" s="46"/>
      <c r="H83" s="46"/>
      <c r="I83" s="47"/>
      <c r="J83" s="47"/>
      <c r="K83" s="47"/>
      <c r="L83" s="46" t="s">
        <v>803</v>
      </c>
      <c r="M83" s="46"/>
      <c r="N83" s="49" t="s">
        <v>850</v>
      </c>
      <c r="O83" s="49"/>
      <c r="P83" s="49"/>
      <c r="Q83" s="44"/>
      <c r="R83" s="44"/>
      <c r="S83" s="49"/>
      <c r="T83" s="49"/>
      <c r="U83" s="49"/>
      <c r="V83" s="49"/>
      <c r="W83" s="49"/>
    </row>
    <row r="84" spans="2:23">
      <c r="B84" s="46" t="s">
        <v>804</v>
      </c>
      <c r="C84" s="46" t="s">
        <v>805</v>
      </c>
      <c r="D84" s="46" t="s">
        <v>13</v>
      </c>
      <c r="E84" s="47">
        <v>28</v>
      </c>
      <c r="F84" s="47"/>
      <c r="G84" s="46"/>
      <c r="H84" s="46"/>
      <c r="I84" s="47"/>
      <c r="J84" s="47"/>
      <c r="K84" s="47"/>
      <c r="L84" s="46" t="s">
        <v>803</v>
      </c>
      <c r="M84" s="46"/>
      <c r="N84" s="49" t="s">
        <v>850</v>
      </c>
      <c r="O84" s="49"/>
      <c r="P84" s="49"/>
      <c r="Q84" s="44"/>
      <c r="R84" s="44"/>
      <c r="S84" s="49"/>
      <c r="T84" s="49"/>
      <c r="U84" s="49"/>
      <c r="V84" s="49"/>
      <c r="W84" s="49"/>
    </row>
    <row r="85" spans="2:23">
      <c r="B85" s="46" t="s">
        <v>806</v>
      </c>
      <c r="C85" s="46" t="s">
        <v>807</v>
      </c>
      <c r="D85" s="46" t="s">
        <v>13</v>
      </c>
      <c r="E85" s="47">
        <v>20</v>
      </c>
      <c r="F85" s="47"/>
      <c r="G85" s="46"/>
      <c r="H85" s="46"/>
      <c r="I85" s="47"/>
      <c r="J85" s="47"/>
      <c r="K85" s="47"/>
      <c r="L85" s="46" t="s">
        <v>289</v>
      </c>
      <c r="M85" s="46"/>
      <c r="N85" s="49" t="s">
        <v>850</v>
      </c>
      <c r="O85" s="49"/>
      <c r="P85" s="49"/>
      <c r="Q85" s="44"/>
      <c r="R85" s="44"/>
      <c r="S85" s="49"/>
      <c r="T85" s="49"/>
      <c r="U85" s="49"/>
      <c r="V85" s="49"/>
      <c r="W85" s="49"/>
    </row>
    <row r="86" spans="2:23">
      <c r="B86" s="46" t="s">
        <v>808</v>
      </c>
      <c r="C86" s="46" t="s">
        <v>809</v>
      </c>
      <c r="D86" s="46" t="s">
        <v>13</v>
      </c>
      <c r="E86" s="47">
        <v>20</v>
      </c>
      <c r="F86" s="47"/>
      <c r="G86" s="46"/>
      <c r="H86" s="46"/>
      <c r="I86" s="47"/>
      <c r="J86" s="47"/>
      <c r="K86" s="47"/>
      <c r="L86" s="46" t="s">
        <v>289</v>
      </c>
      <c r="M86" s="46"/>
      <c r="N86" s="49" t="s">
        <v>850</v>
      </c>
      <c r="O86" s="49"/>
      <c r="P86" s="49"/>
      <c r="Q86" s="44"/>
      <c r="R86" s="44"/>
      <c r="S86" s="49"/>
      <c r="T86" s="49"/>
      <c r="U86" s="49"/>
      <c r="V86" s="49"/>
      <c r="W86" s="49"/>
    </row>
    <row r="87" spans="2:23">
      <c r="B87" s="46" t="s">
        <v>810</v>
      </c>
      <c r="C87" s="46" t="s">
        <v>811</v>
      </c>
      <c r="D87" s="46" t="s">
        <v>13</v>
      </c>
      <c r="E87" s="47">
        <v>200</v>
      </c>
      <c r="F87" s="47"/>
      <c r="G87" s="46"/>
      <c r="H87" s="46"/>
      <c r="I87" s="47"/>
      <c r="J87" s="47"/>
      <c r="K87" s="47"/>
      <c r="L87" s="46" t="s">
        <v>812</v>
      </c>
      <c r="M87" s="46"/>
      <c r="N87" s="49" t="s">
        <v>850</v>
      </c>
      <c r="O87" s="49"/>
      <c r="P87" s="49"/>
      <c r="Q87" s="44"/>
      <c r="R87" s="44"/>
      <c r="S87" s="49"/>
      <c r="T87" s="49"/>
      <c r="U87" s="49"/>
      <c r="V87" s="49"/>
      <c r="W87" s="49"/>
    </row>
    <row r="88" spans="2:23" ht="277.2">
      <c r="B88" s="46" t="s">
        <v>813</v>
      </c>
      <c r="C88" s="46" t="s">
        <v>814</v>
      </c>
      <c r="D88" s="46" t="s">
        <v>13</v>
      </c>
      <c r="E88" s="47" t="s">
        <v>505</v>
      </c>
      <c r="F88" s="47"/>
      <c r="G88" s="46"/>
      <c r="H88" s="46"/>
      <c r="I88" s="47"/>
      <c r="J88" s="47"/>
      <c r="K88" s="47"/>
      <c r="L88" s="46" t="s">
        <v>204</v>
      </c>
      <c r="M88" s="46"/>
      <c r="N88" s="48" t="s">
        <v>851</v>
      </c>
      <c r="O88" s="49"/>
      <c r="P88" s="49"/>
      <c r="Q88" s="44"/>
      <c r="R88" s="44"/>
      <c r="S88" s="49"/>
      <c r="T88" s="49"/>
      <c r="U88" s="49"/>
      <c r="V88" s="49"/>
      <c r="W88" s="49"/>
    </row>
    <row r="89" spans="2:23" ht="25.2">
      <c r="B89" s="46" t="s">
        <v>815</v>
      </c>
      <c r="C89" s="46" t="s">
        <v>816</v>
      </c>
      <c r="D89" s="46" t="s">
        <v>13</v>
      </c>
      <c r="E89" s="47">
        <v>4</v>
      </c>
      <c r="F89" s="47"/>
      <c r="G89" s="46"/>
      <c r="H89" s="46"/>
      <c r="I89" s="47"/>
      <c r="J89" s="47"/>
      <c r="K89" s="47"/>
      <c r="L89" s="46" t="s">
        <v>683</v>
      </c>
      <c r="M89" s="46"/>
      <c r="N89" s="48" t="s">
        <v>852</v>
      </c>
      <c r="O89" s="49"/>
      <c r="P89" s="49"/>
      <c r="Q89" s="44"/>
      <c r="R89" s="44"/>
      <c r="S89" s="49"/>
      <c r="T89" s="49"/>
      <c r="U89" s="49"/>
      <c r="V89" s="49"/>
      <c r="W89" s="49"/>
    </row>
    <row r="90" spans="2:23" ht="25.2">
      <c r="B90" s="46" t="s">
        <v>817</v>
      </c>
      <c r="C90" s="46" t="s">
        <v>818</v>
      </c>
      <c r="D90" s="46" t="s">
        <v>13</v>
      </c>
      <c r="E90" s="47">
        <v>14</v>
      </c>
      <c r="F90" s="47"/>
      <c r="G90" s="46"/>
      <c r="H90" s="46"/>
      <c r="I90" s="47"/>
      <c r="J90" s="47"/>
      <c r="K90" s="47"/>
      <c r="L90" s="46" t="s">
        <v>819</v>
      </c>
      <c r="M90" s="46"/>
      <c r="N90" s="48" t="s">
        <v>853</v>
      </c>
      <c r="O90" s="49"/>
      <c r="P90" s="49"/>
      <c r="Q90" s="44"/>
      <c r="R90" s="44"/>
      <c r="S90" s="49"/>
      <c r="T90" s="49"/>
      <c r="U90" s="49"/>
      <c r="V90" s="49"/>
      <c r="W90" s="49"/>
    </row>
    <row r="91" spans="2:23" ht="37.799999999999997">
      <c r="B91" s="46" t="s">
        <v>820</v>
      </c>
      <c r="C91" s="46" t="s">
        <v>821</v>
      </c>
      <c r="D91" s="46" t="s">
        <v>13</v>
      </c>
      <c r="E91" s="47">
        <v>8</v>
      </c>
      <c r="F91" s="47"/>
      <c r="G91" s="46"/>
      <c r="H91" s="46"/>
      <c r="I91" s="47"/>
      <c r="J91" s="47"/>
      <c r="K91" s="47"/>
      <c r="L91" s="46" t="s">
        <v>182</v>
      </c>
      <c r="M91" s="46"/>
      <c r="N91" s="48" t="s">
        <v>854</v>
      </c>
      <c r="O91" s="49"/>
      <c r="P91" s="49"/>
      <c r="Q91" s="44"/>
      <c r="R91" s="44"/>
      <c r="S91" s="49"/>
      <c r="T91" s="49"/>
      <c r="U91" s="49"/>
      <c r="V91" s="49"/>
      <c r="W91" s="49"/>
    </row>
    <row r="92" spans="2:23" ht="37.799999999999997">
      <c r="B92" s="46" t="s">
        <v>760</v>
      </c>
      <c r="C92" s="46" t="s">
        <v>822</v>
      </c>
      <c r="D92" s="46" t="s">
        <v>13</v>
      </c>
      <c r="E92" s="47">
        <v>16</v>
      </c>
      <c r="F92" s="47"/>
      <c r="G92" s="46"/>
      <c r="H92" s="46"/>
      <c r="I92" s="47"/>
      <c r="J92" s="47"/>
      <c r="K92" s="47"/>
      <c r="L92" s="46" t="s">
        <v>649</v>
      </c>
      <c r="M92" s="46"/>
      <c r="N92" s="48" t="s">
        <v>855</v>
      </c>
      <c r="O92" s="49"/>
      <c r="P92" s="49"/>
      <c r="Q92" s="44"/>
      <c r="R92" s="44"/>
      <c r="S92" s="49"/>
      <c r="T92" s="49"/>
      <c r="U92" s="49"/>
      <c r="V92" s="49"/>
      <c r="W92" s="49"/>
    </row>
    <row r="93" spans="2:23">
      <c r="B93" s="46" t="s">
        <v>823</v>
      </c>
      <c r="C93" s="46" t="s">
        <v>824</v>
      </c>
      <c r="D93" s="46" t="s">
        <v>13</v>
      </c>
      <c r="E93" s="47">
        <v>32</v>
      </c>
      <c r="F93" s="47"/>
      <c r="G93" s="46"/>
      <c r="H93" s="46"/>
      <c r="I93" s="47"/>
      <c r="J93" s="47"/>
      <c r="K93" s="47"/>
      <c r="L93" s="46" t="s">
        <v>759</v>
      </c>
      <c r="M93" s="46"/>
      <c r="N93" s="49"/>
      <c r="O93" s="49" t="s">
        <v>856</v>
      </c>
      <c r="P93" s="49"/>
      <c r="Q93" s="44"/>
      <c r="R93" s="44"/>
      <c r="S93" s="49"/>
      <c r="T93" s="49"/>
      <c r="U93" s="49"/>
      <c r="V93" s="49"/>
      <c r="W93" s="49"/>
    </row>
    <row r="94" spans="2:23" ht="25.2">
      <c r="B94" s="46" t="s">
        <v>825</v>
      </c>
      <c r="C94" s="46" t="s">
        <v>826</v>
      </c>
      <c r="D94" s="46" t="s">
        <v>13</v>
      </c>
      <c r="E94" s="47">
        <v>8</v>
      </c>
      <c r="F94" s="47"/>
      <c r="G94" s="46"/>
      <c r="H94" s="46"/>
      <c r="I94" s="47"/>
      <c r="J94" s="47"/>
      <c r="K94" s="47"/>
      <c r="L94" s="46" t="s">
        <v>182</v>
      </c>
      <c r="M94" s="46"/>
      <c r="N94" s="48" t="s">
        <v>859</v>
      </c>
      <c r="O94" s="48" t="s">
        <v>858</v>
      </c>
      <c r="P94" s="49"/>
      <c r="Q94" s="44"/>
      <c r="R94" s="44"/>
      <c r="S94" s="49"/>
      <c r="T94" s="49"/>
      <c r="U94" s="49"/>
      <c r="V94" s="49"/>
      <c r="W94" s="49"/>
    </row>
    <row r="95" spans="2:23" ht="63">
      <c r="B95" s="46" t="s">
        <v>827</v>
      </c>
      <c r="C95" s="46" t="s">
        <v>828</v>
      </c>
      <c r="D95" s="46" t="s">
        <v>13</v>
      </c>
      <c r="E95" s="47">
        <v>8</v>
      </c>
      <c r="F95" s="47"/>
      <c r="G95" s="46"/>
      <c r="H95" s="46"/>
      <c r="I95" s="47"/>
      <c r="J95" s="47"/>
      <c r="K95" s="47"/>
      <c r="L95" s="46" t="s">
        <v>182</v>
      </c>
      <c r="M95" s="46"/>
      <c r="N95" s="48"/>
      <c r="O95" s="48" t="s">
        <v>857</v>
      </c>
      <c r="P95" s="49"/>
      <c r="Q95" s="44"/>
      <c r="R95" s="44"/>
      <c r="S95" s="49"/>
      <c r="T95" s="49"/>
      <c r="U95" s="49"/>
      <c r="V95" s="49"/>
      <c r="W95" s="49"/>
    </row>
    <row r="96" spans="2:23" ht="25.2">
      <c r="B96" s="46" t="s">
        <v>829</v>
      </c>
      <c r="C96" s="46" t="s">
        <v>830</v>
      </c>
      <c r="D96" s="46" t="s">
        <v>13</v>
      </c>
      <c r="E96" s="47">
        <v>1</v>
      </c>
      <c r="F96" s="47"/>
      <c r="G96" s="46"/>
      <c r="H96" s="46"/>
      <c r="I96" s="47"/>
      <c r="J96" s="47"/>
      <c r="K96" s="47"/>
      <c r="L96" s="46" t="s">
        <v>662</v>
      </c>
      <c r="M96" s="46"/>
      <c r="N96" s="49"/>
      <c r="O96" s="48" t="s">
        <v>860</v>
      </c>
      <c r="P96" s="49"/>
      <c r="Q96" s="44"/>
      <c r="R96" s="44"/>
      <c r="S96" s="49"/>
      <c r="T96" s="49"/>
      <c r="U96" s="49"/>
      <c r="V96" s="49"/>
      <c r="W96" s="49"/>
    </row>
    <row r="97" spans="2:23">
      <c r="B97" s="46" t="s">
        <v>252</v>
      </c>
      <c r="C97" s="46" t="s">
        <v>253</v>
      </c>
      <c r="D97" s="46" t="s">
        <v>13</v>
      </c>
      <c r="E97" s="47">
        <v>100</v>
      </c>
      <c r="F97" s="47"/>
      <c r="G97" s="46"/>
      <c r="H97" s="46"/>
      <c r="I97" s="47"/>
      <c r="J97" s="47"/>
      <c r="K97" s="47"/>
      <c r="L97" s="46" t="s">
        <v>254</v>
      </c>
      <c r="M97" s="46"/>
      <c r="N97" s="49"/>
      <c r="O97" s="49"/>
      <c r="P97" s="49"/>
      <c r="Q97" s="44"/>
      <c r="R97" s="44"/>
      <c r="S97" s="49"/>
      <c r="T97" s="49"/>
      <c r="U97" s="49"/>
      <c r="V97" s="49"/>
      <c r="W97" s="49"/>
    </row>
    <row r="98" spans="2:23">
      <c r="B98" s="46" t="s">
        <v>255</v>
      </c>
      <c r="C98" s="46" t="s">
        <v>256</v>
      </c>
      <c r="D98" s="46" t="s">
        <v>13</v>
      </c>
      <c r="E98" s="47">
        <v>100</v>
      </c>
      <c r="F98" s="47"/>
      <c r="G98" s="46"/>
      <c r="H98" s="46"/>
      <c r="I98" s="47"/>
      <c r="J98" s="47"/>
      <c r="K98" s="47"/>
      <c r="L98" s="46" t="s">
        <v>254</v>
      </c>
      <c r="M98" s="46"/>
      <c r="N98" s="49"/>
      <c r="O98" s="49"/>
      <c r="P98" s="49"/>
      <c r="Q98" s="44"/>
      <c r="R98" s="44"/>
      <c r="S98" s="49"/>
      <c r="T98" s="49"/>
      <c r="U98" s="49"/>
      <c r="V98" s="49"/>
      <c r="W98" s="49"/>
    </row>
    <row r="99" spans="2:23">
      <c r="B99" s="46" t="s">
        <v>257</v>
      </c>
      <c r="C99" s="46" t="s">
        <v>258</v>
      </c>
      <c r="D99" s="46" t="s">
        <v>13</v>
      </c>
      <c r="E99" s="47">
        <v>100</v>
      </c>
      <c r="F99" s="47"/>
      <c r="G99" s="46"/>
      <c r="H99" s="46"/>
      <c r="I99" s="47"/>
      <c r="J99" s="47"/>
      <c r="K99" s="47"/>
      <c r="L99" s="46" t="s">
        <v>254</v>
      </c>
      <c r="M99" s="46"/>
      <c r="N99" s="49"/>
      <c r="O99" s="49"/>
      <c r="P99" s="49"/>
      <c r="Q99" s="44"/>
      <c r="R99" s="44"/>
      <c r="S99" s="49"/>
      <c r="T99" s="49"/>
      <c r="U99" s="49"/>
      <c r="V99" s="49"/>
      <c r="W99" s="49"/>
    </row>
    <row r="100" spans="2:23">
      <c r="B100" s="46" t="s">
        <v>831</v>
      </c>
      <c r="C100" s="46" t="s">
        <v>832</v>
      </c>
      <c r="D100" s="46" t="s">
        <v>17</v>
      </c>
      <c r="E100" s="47">
        <v>8</v>
      </c>
      <c r="F100" s="47"/>
      <c r="G100" s="46"/>
      <c r="H100" s="46"/>
      <c r="I100" s="47"/>
      <c r="J100" s="47"/>
      <c r="K100" s="47"/>
      <c r="L100" s="46" t="s">
        <v>182</v>
      </c>
      <c r="M100" s="46"/>
      <c r="N100" s="49"/>
      <c r="O100" s="49"/>
      <c r="P100" s="49"/>
      <c r="Q100" s="44"/>
      <c r="R100" s="44"/>
      <c r="S100" s="49"/>
      <c r="T100" s="49"/>
      <c r="U100" s="49"/>
      <c r="V100" s="49"/>
      <c r="W100" s="49"/>
    </row>
    <row r="101" spans="2:23">
      <c r="B101" s="46" t="s">
        <v>833</v>
      </c>
      <c r="C101" s="46" t="s">
        <v>834</v>
      </c>
      <c r="D101" s="46" t="s">
        <v>17</v>
      </c>
      <c r="E101" s="47">
        <v>8</v>
      </c>
      <c r="F101" s="47"/>
      <c r="G101" s="46"/>
      <c r="H101" s="46"/>
      <c r="I101" s="47"/>
      <c r="J101" s="47"/>
      <c r="K101" s="47"/>
      <c r="L101" s="46" t="s">
        <v>182</v>
      </c>
      <c r="M101" s="46"/>
      <c r="N101" s="49"/>
      <c r="O101" s="49"/>
      <c r="P101" s="49"/>
      <c r="Q101" s="44"/>
      <c r="R101" s="44"/>
      <c r="S101" s="49"/>
      <c r="T101" s="49"/>
      <c r="U101" s="49"/>
      <c r="V101" s="49"/>
      <c r="W101" s="49"/>
    </row>
    <row r="102" spans="2:23">
      <c r="B102" s="46" t="s">
        <v>835</v>
      </c>
      <c r="C102" s="46" t="s">
        <v>836</v>
      </c>
      <c r="D102" s="46" t="s">
        <v>17</v>
      </c>
      <c r="E102" s="47">
        <v>8</v>
      </c>
      <c r="F102" s="47"/>
      <c r="G102" s="46"/>
      <c r="H102" s="46"/>
      <c r="I102" s="47"/>
      <c r="J102" s="47"/>
      <c r="K102" s="47"/>
      <c r="L102" s="46" t="s">
        <v>182</v>
      </c>
      <c r="M102" s="46"/>
      <c r="N102" s="49"/>
      <c r="O102" s="49"/>
      <c r="P102" s="49"/>
      <c r="Q102" s="44"/>
      <c r="R102" s="44"/>
      <c r="S102" s="49"/>
      <c r="T102" s="49"/>
      <c r="U102" s="49"/>
      <c r="V102" s="49"/>
      <c r="W102" s="49"/>
    </row>
    <row r="103" spans="2:23">
      <c r="B103" s="46" t="s">
        <v>837</v>
      </c>
      <c r="C103" s="46" t="s">
        <v>16</v>
      </c>
      <c r="D103" s="46" t="s">
        <v>17</v>
      </c>
      <c r="E103" s="47">
        <v>8</v>
      </c>
      <c r="F103" s="47" t="s">
        <v>86</v>
      </c>
      <c r="G103" s="54" t="s">
        <v>135</v>
      </c>
      <c r="H103" s="46"/>
      <c r="I103" s="47"/>
      <c r="J103" s="47"/>
      <c r="K103" s="47"/>
      <c r="L103" s="46" t="s">
        <v>82</v>
      </c>
      <c r="M103" s="46"/>
      <c r="N103" s="49"/>
      <c r="O103" s="49"/>
      <c r="P103" s="49"/>
      <c r="Q103" s="44"/>
      <c r="R103" s="44"/>
      <c r="S103" s="49"/>
      <c r="T103" s="49"/>
      <c r="U103" s="49"/>
      <c r="V103" s="49"/>
      <c r="W103" s="49"/>
    </row>
    <row r="104" spans="2:23">
      <c r="B104" s="46" t="s">
        <v>838</v>
      </c>
      <c r="C104" s="46" t="s">
        <v>18</v>
      </c>
      <c r="D104" s="46" t="s">
        <v>17</v>
      </c>
      <c r="E104" s="47">
        <v>8</v>
      </c>
      <c r="F104" s="47" t="s">
        <v>86</v>
      </c>
      <c r="G104" s="54" t="s">
        <v>135</v>
      </c>
      <c r="H104" s="46"/>
      <c r="I104" s="47"/>
      <c r="J104" s="47"/>
      <c r="K104" s="47"/>
      <c r="L104" s="46" t="s">
        <v>82</v>
      </c>
      <c r="M104" s="46"/>
      <c r="N104" s="49"/>
      <c r="O104" s="49"/>
      <c r="P104" s="49"/>
      <c r="Q104" s="44"/>
      <c r="R104" s="44"/>
      <c r="S104" s="49"/>
      <c r="T104" s="49"/>
      <c r="U104" s="49"/>
      <c r="V104" s="49"/>
      <c r="W104" s="49"/>
    </row>
    <row r="105" spans="2:23">
      <c r="B105" s="46" t="s">
        <v>839</v>
      </c>
      <c r="C105" s="46" t="s">
        <v>20</v>
      </c>
      <c r="D105" s="46" t="s">
        <v>13</v>
      </c>
      <c r="E105" s="47">
        <v>40</v>
      </c>
      <c r="F105" s="47" t="s">
        <v>86</v>
      </c>
      <c r="G105" s="46"/>
      <c r="H105" s="46"/>
      <c r="I105" s="47"/>
      <c r="J105" s="47"/>
      <c r="K105" s="47"/>
      <c r="L105" s="46" t="s">
        <v>78</v>
      </c>
      <c r="M105" s="46"/>
      <c r="N105" s="49"/>
      <c r="O105" s="49"/>
      <c r="P105" s="49"/>
      <c r="Q105" s="44"/>
      <c r="R105" s="44"/>
      <c r="S105" s="49"/>
      <c r="T105" s="49"/>
      <c r="U105" s="49"/>
      <c r="V105" s="49"/>
      <c r="W105" s="49"/>
    </row>
    <row r="106" spans="2:23">
      <c r="B106" s="46" t="s">
        <v>840</v>
      </c>
      <c r="C106" s="46" t="s">
        <v>22</v>
      </c>
      <c r="D106" s="46" t="s">
        <v>13</v>
      </c>
      <c r="E106" s="47">
        <v>40</v>
      </c>
      <c r="F106" s="47" t="s">
        <v>86</v>
      </c>
      <c r="G106" s="46"/>
      <c r="H106" s="46"/>
      <c r="I106" s="47"/>
      <c r="J106" s="47"/>
      <c r="K106" s="47"/>
      <c r="L106" s="46" t="s">
        <v>78</v>
      </c>
      <c r="M106" s="46"/>
      <c r="N106" s="49"/>
      <c r="O106" s="49"/>
      <c r="P106" s="49"/>
      <c r="Q106" s="44"/>
      <c r="R106" s="44"/>
      <c r="S106" s="49"/>
      <c r="T106" s="49"/>
      <c r="U106" s="49"/>
      <c r="V106" s="49"/>
      <c r="W106" s="49"/>
    </row>
    <row r="107" spans="2:23" ht="25.2">
      <c r="B107" s="46" t="s">
        <v>841</v>
      </c>
      <c r="C107" s="46" t="s">
        <v>46</v>
      </c>
      <c r="D107" s="46" t="s">
        <v>13</v>
      </c>
      <c r="E107" s="47">
        <v>10</v>
      </c>
      <c r="F107" s="47" t="s">
        <v>86</v>
      </c>
      <c r="G107" s="46"/>
      <c r="H107" s="46"/>
      <c r="I107" s="47"/>
      <c r="J107" s="47"/>
      <c r="K107" s="47"/>
      <c r="L107" s="46" t="s">
        <v>83</v>
      </c>
      <c r="M107" s="46"/>
      <c r="N107" s="49" t="s">
        <v>62</v>
      </c>
      <c r="O107" s="48" t="s">
        <v>63</v>
      </c>
      <c r="P107" s="49"/>
      <c r="Q107" s="44"/>
      <c r="R107" s="44"/>
      <c r="S107" s="49"/>
      <c r="T107" s="49"/>
      <c r="U107" s="49"/>
      <c r="V107" s="49"/>
      <c r="W107" s="49"/>
    </row>
    <row r="108" spans="2:23">
      <c r="B108" s="44"/>
      <c r="C108" s="44"/>
      <c r="D108" s="44"/>
      <c r="E108" s="44"/>
      <c r="F108" s="44"/>
      <c r="G108" s="44"/>
      <c r="H108" s="44"/>
      <c r="I108" s="44"/>
      <c r="J108" s="44"/>
      <c r="K108" s="44"/>
      <c r="L108" s="44"/>
      <c r="M108" s="44"/>
      <c r="N108" s="44"/>
      <c r="O108" s="44"/>
      <c r="P108" s="44"/>
      <c r="Q108" s="44"/>
      <c r="R108" s="44"/>
      <c r="S108" s="44"/>
      <c r="T108" s="44"/>
      <c r="U108" s="44"/>
      <c r="V108" s="44"/>
      <c r="W108" s="44"/>
    </row>
    <row r="109" spans="2:23">
      <c r="B109" s="44"/>
      <c r="C109" s="44"/>
      <c r="D109" s="44"/>
      <c r="E109" s="44"/>
      <c r="F109" s="44"/>
      <c r="G109" s="44"/>
      <c r="H109" s="44"/>
      <c r="I109" s="44"/>
      <c r="J109" s="44"/>
      <c r="K109" s="44"/>
      <c r="L109" s="44"/>
      <c r="M109" s="44"/>
      <c r="N109" s="44"/>
      <c r="O109" s="44"/>
      <c r="P109" s="44"/>
      <c r="Q109" s="44"/>
      <c r="R109" s="44"/>
      <c r="S109" s="44"/>
      <c r="T109" s="44"/>
      <c r="U109" s="44"/>
      <c r="V109" s="44"/>
      <c r="W109" s="44"/>
    </row>
    <row r="110" spans="2:23">
      <c r="B110" s="44"/>
      <c r="C110" s="44"/>
      <c r="D110" s="44"/>
      <c r="E110" s="44"/>
      <c r="F110" s="44"/>
      <c r="G110" s="44"/>
      <c r="H110" s="44"/>
      <c r="I110" s="44"/>
      <c r="J110" s="44"/>
      <c r="K110" s="44"/>
      <c r="L110" s="44"/>
      <c r="M110" s="44"/>
      <c r="N110" s="44"/>
      <c r="O110" s="44"/>
      <c r="P110" s="44"/>
      <c r="Q110" s="44"/>
      <c r="R110" s="44"/>
      <c r="S110" s="44"/>
      <c r="T110" s="44"/>
      <c r="U110" s="44"/>
      <c r="V110" s="44"/>
      <c r="W110" s="44"/>
    </row>
  </sheetData>
  <mergeCells count="4">
    <mergeCell ref="D5:F5"/>
    <mergeCell ref="H5:P5"/>
    <mergeCell ref="D6:F6"/>
    <mergeCell ref="H6:P6"/>
  </mergeCells>
  <phoneticPr fontId="2"/>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8B313-BE63-4925-9515-5147887CA8B4}">
  <sheetPr codeName="Sheet14">
    <tabColor theme="4"/>
  </sheetPr>
  <dimension ref="A2:AC138"/>
  <sheetViews>
    <sheetView showGridLines="0" workbookViewId="0"/>
  </sheetViews>
  <sheetFormatPr defaultRowHeight="15"/>
  <cols>
    <col min="1" max="1" width="2.54296875" customWidth="1"/>
    <col min="2" max="3" width="22.81640625" customWidth="1"/>
    <col min="4" max="4" width="7.1796875" bestFit="1" customWidth="1"/>
    <col min="5" max="5" width="5.1796875" customWidth="1"/>
    <col min="6" max="6" width="4.453125" customWidth="1"/>
    <col min="7" max="7" width="15.36328125" bestFit="1" customWidth="1"/>
    <col min="8" max="8" width="4.453125" customWidth="1"/>
    <col min="9" max="9" width="3.08984375" bestFit="1" customWidth="1"/>
    <col min="10" max="10" width="3.1796875" bestFit="1" customWidth="1"/>
    <col min="11" max="11" width="3" bestFit="1" customWidth="1"/>
    <col min="12" max="12" width="12" bestFit="1" customWidth="1"/>
    <col min="13" max="13" width="4.453125" customWidth="1"/>
    <col min="14" max="14" width="30.453125" customWidth="1"/>
    <col min="15" max="15" width="27.36328125" customWidth="1"/>
    <col min="16" max="16" width="33.36328125" customWidth="1"/>
    <col min="17" max="17" width="2.36328125" customWidth="1"/>
    <col min="18" max="19" width="6.54296875" customWidth="1"/>
    <col min="20" max="20" width="15.1796875" customWidth="1"/>
    <col min="21" max="21" width="6.54296875" customWidth="1"/>
    <col min="22" max="26" width="20.6328125" customWidth="1"/>
  </cols>
  <sheetData>
    <row r="2" spans="1:29">
      <c r="A2" s="6"/>
      <c r="B2" s="7" t="s">
        <v>38</v>
      </c>
      <c r="C2" s="6"/>
      <c r="D2" s="6"/>
      <c r="E2" s="6"/>
      <c r="F2" s="6"/>
      <c r="G2" s="6"/>
      <c r="H2" s="6"/>
      <c r="I2" s="6"/>
      <c r="J2" s="6"/>
      <c r="K2" s="6"/>
      <c r="L2" s="6"/>
      <c r="M2" s="6"/>
      <c r="N2" s="6"/>
      <c r="O2" s="6"/>
      <c r="P2" s="6"/>
      <c r="Q2" s="6"/>
      <c r="R2" s="6"/>
      <c r="S2" s="6"/>
      <c r="T2" s="6"/>
      <c r="U2" s="6"/>
      <c r="V2" s="6"/>
      <c r="W2" s="6"/>
      <c r="X2" s="6"/>
      <c r="Y2" s="6"/>
      <c r="Z2" s="6"/>
      <c r="AA2" s="6"/>
      <c r="AB2" s="6"/>
      <c r="AC2" s="6"/>
    </row>
    <row r="3" spans="1:29" ht="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5" spans="1:29">
      <c r="B5" s="8" t="s">
        <v>30</v>
      </c>
      <c r="C5" s="8" t="s">
        <v>31</v>
      </c>
      <c r="D5" s="234" t="s">
        <v>37</v>
      </c>
      <c r="E5" s="235"/>
      <c r="F5" s="236"/>
      <c r="G5" s="8" t="s">
        <v>74</v>
      </c>
      <c r="H5" s="234" t="s">
        <v>85</v>
      </c>
      <c r="I5" s="235"/>
      <c r="J5" s="235"/>
      <c r="K5" s="235"/>
      <c r="L5" s="235"/>
      <c r="M5" s="235"/>
      <c r="N5" s="235"/>
      <c r="O5" s="235"/>
      <c r="P5" s="236"/>
      <c r="R5" t="s">
        <v>1859</v>
      </c>
    </row>
    <row r="6" spans="1:29">
      <c r="B6" s="2"/>
      <c r="C6" s="2"/>
      <c r="D6" s="290" t="s">
        <v>94</v>
      </c>
      <c r="E6" s="291"/>
      <c r="F6" s="292"/>
      <c r="G6" s="10" t="s">
        <v>75</v>
      </c>
      <c r="H6" s="240"/>
      <c r="I6" s="241"/>
      <c r="J6" s="241"/>
      <c r="K6" s="241"/>
      <c r="L6" s="241"/>
      <c r="M6" s="241"/>
      <c r="N6" s="241"/>
      <c r="O6" s="241"/>
      <c r="P6" s="242"/>
      <c r="R6" t="s">
        <v>1862</v>
      </c>
      <c r="V6" t="s">
        <v>109</v>
      </c>
    </row>
    <row r="7" spans="1:29">
      <c r="R7" t="s">
        <v>1863</v>
      </c>
    </row>
    <row r="8" spans="1:29">
      <c r="B8" s="8" t="s">
        <v>32</v>
      </c>
      <c r="C8" s="8" t="s">
        <v>33</v>
      </c>
      <c r="D8" s="8" t="s">
        <v>34</v>
      </c>
      <c r="E8" s="13" t="s">
        <v>10</v>
      </c>
      <c r="F8" s="9" t="s">
        <v>23</v>
      </c>
      <c r="G8" s="9" t="s">
        <v>24</v>
      </c>
      <c r="H8" s="9" t="s">
        <v>25</v>
      </c>
      <c r="I8" s="9" t="s">
        <v>26</v>
      </c>
      <c r="J8" s="9" t="s">
        <v>27</v>
      </c>
      <c r="K8" s="9" t="s">
        <v>28</v>
      </c>
      <c r="L8" s="9" t="s">
        <v>29</v>
      </c>
      <c r="M8" s="9" t="s">
        <v>11</v>
      </c>
      <c r="N8" s="8" t="s">
        <v>35</v>
      </c>
      <c r="O8" s="8" t="s">
        <v>36</v>
      </c>
      <c r="P8" s="8" t="s">
        <v>12</v>
      </c>
      <c r="R8" s="88" t="s">
        <v>1858</v>
      </c>
      <c r="S8" s="88" t="s">
        <v>1866</v>
      </c>
      <c r="T8" s="88" t="s">
        <v>155</v>
      </c>
      <c r="V8" s="8" t="s">
        <v>107</v>
      </c>
      <c r="W8" s="8" t="s">
        <v>107</v>
      </c>
      <c r="X8" s="8" t="s">
        <v>107</v>
      </c>
      <c r="Y8" s="8" t="s">
        <v>107</v>
      </c>
      <c r="Z8" s="8" t="s">
        <v>107</v>
      </c>
    </row>
    <row r="9" spans="1:29" ht="25.2">
      <c r="B9" s="15" t="s">
        <v>40</v>
      </c>
      <c r="C9" s="15" t="s">
        <v>39</v>
      </c>
      <c r="D9" s="15" t="s">
        <v>64</v>
      </c>
      <c r="E9" s="11"/>
      <c r="F9" s="11" t="s">
        <v>86</v>
      </c>
      <c r="G9" s="15"/>
      <c r="H9" s="15"/>
      <c r="I9" s="11" t="s">
        <v>14</v>
      </c>
      <c r="J9" s="11"/>
      <c r="K9" s="11"/>
      <c r="L9" s="15"/>
      <c r="M9" s="15" t="s">
        <v>14</v>
      </c>
      <c r="N9" s="14" t="s">
        <v>61</v>
      </c>
      <c r="O9" s="12"/>
      <c r="P9" s="12"/>
      <c r="R9" s="162" t="s">
        <v>136</v>
      </c>
      <c r="S9" s="162" t="s">
        <v>136</v>
      </c>
      <c r="T9" s="159"/>
      <c r="V9" s="12"/>
      <c r="W9" s="12"/>
      <c r="X9" s="12"/>
      <c r="Y9" s="12"/>
      <c r="Z9" s="12"/>
    </row>
    <row r="10" spans="1:29">
      <c r="B10" s="15" t="s">
        <v>41</v>
      </c>
      <c r="C10" s="15" t="s">
        <v>42</v>
      </c>
      <c r="D10" s="15" t="s">
        <v>13</v>
      </c>
      <c r="E10" s="11">
        <v>8</v>
      </c>
      <c r="F10" s="11" t="s">
        <v>86</v>
      </c>
      <c r="G10" s="15"/>
      <c r="H10" s="15"/>
      <c r="I10" s="11"/>
      <c r="J10" s="11"/>
      <c r="K10" s="11"/>
      <c r="L10" s="15" t="s">
        <v>69</v>
      </c>
      <c r="M10" s="15"/>
      <c r="N10" s="12"/>
      <c r="O10" s="12"/>
      <c r="P10" s="12"/>
      <c r="R10" s="162" t="s">
        <v>136</v>
      </c>
      <c r="S10" s="162" t="s">
        <v>136</v>
      </c>
      <c r="T10" s="159"/>
      <c r="V10" s="12"/>
      <c r="W10" s="12"/>
      <c r="X10" s="12"/>
      <c r="Y10" s="12"/>
      <c r="Z10" s="12"/>
    </row>
    <row r="11" spans="1:29">
      <c r="B11" s="15"/>
      <c r="C11" s="15"/>
      <c r="D11" s="15"/>
      <c r="E11" s="11"/>
      <c r="F11" s="11"/>
      <c r="G11" s="15"/>
      <c r="H11" s="15"/>
      <c r="I11" s="11"/>
      <c r="J11" s="11"/>
      <c r="K11" s="11"/>
      <c r="L11" s="15"/>
      <c r="M11" s="15"/>
      <c r="N11" s="12"/>
      <c r="O11" s="12"/>
      <c r="P11" s="12"/>
      <c r="R11" s="162" t="s">
        <v>136</v>
      </c>
      <c r="S11" s="162" t="s">
        <v>136</v>
      </c>
      <c r="T11" s="159"/>
      <c r="V11" s="12"/>
      <c r="W11" s="12"/>
      <c r="X11" s="12"/>
      <c r="Y11" s="12"/>
      <c r="Z11" s="12"/>
    </row>
    <row r="12" spans="1:29">
      <c r="B12" s="15"/>
      <c r="C12" s="15"/>
      <c r="D12" s="15"/>
      <c r="E12" s="11"/>
      <c r="F12" s="11"/>
      <c r="G12" s="15"/>
      <c r="H12" s="15"/>
      <c r="I12" s="11"/>
      <c r="J12" s="11"/>
      <c r="K12" s="11"/>
      <c r="L12" s="15"/>
      <c r="M12" s="15"/>
      <c r="N12" s="12"/>
      <c r="O12" s="12"/>
      <c r="P12" s="12"/>
      <c r="R12" s="162" t="s">
        <v>136</v>
      </c>
      <c r="S12" s="162" t="s">
        <v>136</v>
      </c>
      <c r="T12" s="159"/>
      <c r="V12" s="12"/>
      <c r="W12" s="12"/>
      <c r="X12" s="12"/>
      <c r="Y12" s="12"/>
      <c r="Z12" s="12"/>
    </row>
    <row r="13" spans="1:29">
      <c r="B13" s="15"/>
      <c r="C13" s="15"/>
      <c r="D13" s="15"/>
      <c r="E13" s="11"/>
      <c r="F13" s="11"/>
      <c r="G13" s="15"/>
      <c r="H13" s="15"/>
      <c r="I13" s="11"/>
      <c r="J13" s="11"/>
      <c r="K13" s="11"/>
      <c r="L13" s="15"/>
      <c r="M13" s="15"/>
      <c r="N13" s="14"/>
      <c r="O13" s="12"/>
      <c r="P13" s="12"/>
      <c r="R13" s="162" t="s">
        <v>136</v>
      </c>
      <c r="S13" s="162" t="s">
        <v>136</v>
      </c>
      <c r="T13" s="159"/>
      <c r="V13" s="12"/>
      <c r="W13" s="12"/>
      <c r="X13" s="12"/>
      <c r="Y13" s="12"/>
      <c r="Z13" s="12"/>
    </row>
    <row r="14" spans="1:29">
      <c r="B14" s="15"/>
      <c r="C14" s="15"/>
      <c r="D14" s="15"/>
      <c r="E14" s="11"/>
      <c r="F14" s="11"/>
      <c r="G14" s="15"/>
      <c r="H14" s="15"/>
      <c r="I14" s="11"/>
      <c r="J14" s="11"/>
      <c r="K14" s="11"/>
      <c r="L14" s="15"/>
      <c r="M14" s="15"/>
      <c r="N14" s="12"/>
      <c r="O14" s="12"/>
      <c r="P14" s="12"/>
      <c r="R14" s="162" t="s">
        <v>136</v>
      </c>
      <c r="S14" s="162" t="s">
        <v>136</v>
      </c>
      <c r="T14" s="159"/>
      <c r="V14" s="12"/>
      <c r="W14" s="12"/>
      <c r="X14" s="12"/>
      <c r="Y14" s="12"/>
      <c r="Z14" s="12"/>
    </row>
    <row r="15" spans="1:29">
      <c r="B15" s="15"/>
      <c r="C15" s="15"/>
      <c r="D15" s="15"/>
      <c r="E15" s="11"/>
      <c r="F15" s="11"/>
      <c r="G15" s="15"/>
      <c r="H15" s="15"/>
      <c r="I15" s="11"/>
      <c r="J15" s="11"/>
      <c r="K15" s="11"/>
      <c r="L15" s="15"/>
      <c r="M15" s="15"/>
      <c r="N15" s="12"/>
      <c r="O15" s="12"/>
      <c r="P15" s="12"/>
      <c r="R15" s="162" t="s">
        <v>136</v>
      </c>
      <c r="S15" s="162" t="s">
        <v>136</v>
      </c>
      <c r="T15" s="159"/>
      <c r="V15" s="12"/>
      <c r="W15" s="12"/>
      <c r="X15" s="12"/>
      <c r="Y15" s="12"/>
      <c r="Z15" s="12"/>
    </row>
    <row r="16" spans="1:29">
      <c r="B16" s="15"/>
      <c r="C16" s="15"/>
      <c r="D16" s="15"/>
      <c r="E16" s="11"/>
      <c r="F16" s="11"/>
      <c r="G16" s="15"/>
      <c r="H16" s="15"/>
      <c r="I16" s="11"/>
      <c r="J16" s="11"/>
      <c r="K16" s="11"/>
      <c r="L16" s="15"/>
      <c r="M16" s="15"/>
      <c r="N16" s="12"/>
      <c r="O16" s="12"/>
      <c r="P16" s="12"/>
      <c r="R16" s="162" t="s">
        <v>136</v>
      </c>
      <c r="S16" s="162" t="s">
        <v>136</v>
      </c>
      <c r="T16" s="159"/>
      <c r="V16" s="12"/>
      <c r="W16" s="12"/>
      <c r="X16" s="12"/>
      <c r="Y16" s="12"/>
      <c r="Z16" s="12"/>
    </row>
    <row r="17" spans="2:26">
      <c r="B17" s="15"/>
      <c r="C17" s="15"/>
      <c r="D17" s="15"/>
      <c r="E17" s="11"/>
      <c r="F17" s="11"/>
      <c r="G17" s="15"/>
      <c r="H17" s="15"/>
      <c r="I17" s="11"/>
      <c r="J17" s="11"/>
      <c r="K17" s="11"/>
      <c r="L17" s="15"/>
      <c r="M17" s="15"/>
      <c r="N17" s="12"/>
      <c r="O17" s="14"/>
      <c r="P17" s="12"/>
      <c r="R17" s="162" t="s">
        <v>136</v>
      </c>
      <c r="S17" s="162" t="s">
        <v>136</v>
      </c>
      <c r="T17" s="159"/>
      <c r="V17" s="12"/>
      <c r="W17" s="12"/>
      <c r="X17" s="12"/>
      <c r="Y17" s="12"/>
      <c r="Z17" s="12"/>
    </row>
    <row r="18" spans="2:26">
      <c r="B18" s="15"/>
      <c r="C18" s="15"/>
      <c r="D18" s="15"/>
      <c r="E18" s="11"/>
      <c r="F18" s="11"/>
      <c r="G18" s="15"/>
      <c r="H18" s="15"/>
      <c r="I18" s="11"/>
      <c r="J18" s="11"/>
      <c r="K18" s="11"/>
      <c r="L18" s="15"/>
      <c r="M18" s="15"/>
      <c r="N18" s="12"/>
      <c r="O18" s="12"/>
      <c r="P18" s="12"/>
      <c r="R18" s="162" t="s">
        <v>136</v>
      </c>
      <c r="S18" s="162" t="s">
        <v>136</v>
      </c>
      <c r="T18" s="159"/>
      <c r="V18" s="12"/>
      <c r="W18" s="12"/>
      <c r="X18" s="12"/>
      <c r="Y18" s="12"/>
      <c r="Z18" s="12"/>
    </row>
    <row r="19" spans="2:26">
      <c r="B19" s="15"/>
      <c r="C19" s="15"/>
      <c r="D19" s="15"/>
      <c r="E19" s="11"/>
      <c r="F19" s="11"/>
      <c r="G19" s="15"/>
      <c r="H19" s="15"/>
      <c r="I19" s="11"/>
      <c r="J19" s="11"/>
      <c r="K19" s="11"/>
      <c r="L19" s="15"/>
      <c r="M19" s="15"/>
      <c r="N19" s="12"/>
      <c r="O19" s="12"/>
      <c r="P19" s="12"/>
      <c r="R19" s="162" t="s">
        <v>136</v>
      </c>
      <c r="S19" s="162" t="s">
        <v>136</v>
      </c>
      <c r="T19" s="159"/>
      <c r="V19" s="12"/>
      <c r="W19" s="12"/>
      <c r="X19" s="12"/>
      <c r="Y19" s="12"/>
      <c r="Z19" s="12"/>
    </row>
    <row r="20" spans="2:26">
      <c r="B20" s="15"/>
      <c r="C20" s="15"/>
      <c r="D20" s="15"/>
      <c r="E20" s="11"/>
      <c r="F20" s="11"/>
      <c r="G20" s="15"/>
      <c r="H20" s="15"/>
      <c r="I20" s="11"/>
      <c r="J20" s="11"/>
      <c r="K20" s="11"/>
      <c r="L20" s="15"/>
      <c r="M20" s="15"/>
      <c r="N20" s="12"/>
      <c r="O20" s="12"/>
      <c r="P20" s="12"/>
      <c r="R20" s="162" t="s">
        <v>136</v>
      </c>
      <c r="S20" s="162" t="s">
        <v>136</v>
      </c>
      <c r="T20" s="159"/>
      <c r="V20" s="12"/>
      <c r="W20" s="12"/>
      <c r="X20" s="12"/>
      <c r="Y20" s="12"/>
      <c r="Z20" s="12"/>
    </row>
    <row r="21" spans="2:26">
      <c r="B21" s="15"/>
      <c r="C21" s="15"/>
      <c r="D21" s="15"/>
      <c r="E21" s="11"/>
      <c r="F21" s="11"/>
      <c r="G21" s="15"/>
      <c r="H21" s="15"/>
      <c r="I21" s="11"/>
      <c r="J21" s="11"/>
      <c r="K21" s="11"/>
      <c r="L21" s="15"/>
      <c r="M21" s="15"/>
      <c r="N21" s="12"/>
      <c r="O21" s="12"/>
      <c r="P21" s="12"/>
      <c r="R21" s="162" t="s">
        <v>136</v>
      </c>
      <c r="S21" s="162" t="s">
        <v>136</v>
      </c>
      <c r="T21" s="159"/>
      <c r="V21" s="12"/>
      <c r="W21" s="12"/>
      <c r="X21" s="12"/>
      <c r="Y21" s="12"/>
      <c r="Z21" s="12"/>
    </row>
    <row r="22" spans="2:26">
      <c r="B22" s="15"/>
      <c r="C22" s="15"/>
      <c r="D22" s="15"/>
      <c r="E22" s="11"/>
      <c r="F22" s="11"/>
      <c r="G22" s="15"/>
      <c r="H22" s="15"/>
      <c r="I22" s="11"/>
      <c r="J22" s="11"/>
      <c r="K22" s="11"/>
      <c r="L22" s="15"/>
      <c r="M22" s="15"/>
      <c r="N22" s="12"/>
      <c r="O22" s="12"/>
      <c r="P22" s="12"/>
      <c r="R22" s="162" t="s">
        <v>136</v>
      </c>
      <c r="S22" s="162" t="s">
        <v>136</v>
      </c>
      <c r="T22" s="159"/>
      <c r="V22" s="12"/>
      <c r="W22" s="12"/>
      <c r="X22" s="12"/>
      <c r="Y22" s="12"/>
      <c r="Z22" s="12"/>
    </row>
    <row r="23" spans="2:26">
      <c r="B23" s="15"/>
      <c r="C23" s="15"/>
      <c r="D23" s="15"/>
      <c r="E23" s="11"/>
      <c r="F23" s="11"/>
      <c r="G23" s="15"/>
      <c r="H23" s="15"/>
      <c r="I23" s="11"/>
      <c r="J23" s="11"/>
      <c r="K23" s="11"/>
      <c r="L23" s="15"/>
      <c r="M23" s="15"/>
      <c r="N23" s="12"/>
      <c r="O23" s="12"/>
      <c r="P23" s="12"/>
      <c r="R23" s="162" t="s">
        <v>136</v>
      </c>
      <c r="S23" s="162" t="s">
        <v>136</v>
      </c>
      <c r="T23" s="159"/>
      <c r="V23" s="12"/>
      <c r="W23" s="12"/>
      <c r="X23" s="12"/>
      <c r="Y23" s="12"/>
      <c r="Z23" s="12"/>
    </row>
    <row r="24" spans="2:26">
      <c r="B24" s="15"/>
      <c r="C24" s="15"/>
      <c r="D24" s="15"/>
      <c r="E24" s="11"/>
      <c r="F24" s="11"/>
      <c r="G24" s="15"/>
      <c r="H24" s="15"/>
      <c r="I24" s="11"/>
      <c r="J24" s="11"/>
      <c r="K24" s="11"/>
      <c r="L24" s="15"/>
      <c r="M24" s="15"/>
      <c r="N24" s="12"/>
      <c r="O24" s="12"/>
      <c r="P24" s="12"/>
      <c r="R24" s="162" t="s">
        <v>136</v>
      </c>
      <c r="S24" s="162" t="s">
        <v>136</v>
      </c>
      <c r="T24" s="159"/>
      <c r="V24" s="12"/>
      <c r="W24" s="12"/>
      <c r="X24" s="12"/>
      <c r="Y24" s="12"/>
      <c r="Z24" s="12"/>
    </row>
    <row r="25" spans="2:26">
      <c r="B25" s="15"/>
      <c r="C25" s="15"/>
      <c r="D25" s="15"/>
      <c r="E25" s="11"/>
      <c r="F25" s="11"/>
      <c r="G25" s="15"/>
      <c r="H25" s="15"/>
      <c r="I25" s="11"/>
      <c r="J25" s="11"/>
      <c r="K25" s="11"/>
      <c r="L25" s="15"/>
      <c r="M25" s="15"/>
      <c r="N25" s="12"/>
      <c r="O25" s="12"/>
      <c r="P25" s="12"/>
      <c r="R25" s="162" t="s">
        <v>136</v>
      </c>
      <c r="S25" s="162" t="s">
        <v>136</v>
      </c>
      <c r="T25" s="159"/>
      <c r="V25" s="12"/>
      <c r="W25" s="12"/>
      <c r="X25" s="12"/>
      <c r="Y25" s="12"/>
      <c r="Z25" s="12"/>
    </row>
    <row r="26" spans="2:26">
      <c r="B26" s="15"/>
      <c r="C26" s="15"/>
      <c r="D26" s="15"/>
      <c r="E26" s="11"/>
      <c r="F26" s="11"/>
      <c r="G26" s="15"/>
      <c r="H26" s="15"/>
      <c r="I26" s="11"/>
      <c r="J26" s="11"/>
      <c r="K26" s="11"/>
      <c r="L26" s="15"/>
      <c r="M26" s="15"/>
      <c r="N26" s="12"/>
      <c r="O26" s="12"/>
      <c r="P26" s="12"/>
      <c r="R26" s="162" t="s">
        <v>136</v>
      </c>
      <c r="S26" s="162" t="s">
        <v>136</v>
      </c>
      <c r="T26" s="159"/>
      <c r="V26" s="12"/>
      <c r="W26" s="12"/>
      <c r="X26" s="12"/>
      <c r="Y26" s="12"/>
      <c r="Z26" s="12"/>
    </row>
    <row r="27" spans="2:26">
      <c r="B27" s="15"/>
      <c r="C27" s="15"/>
      <c r="D27" s="15"/>
      <c r="E27" s="11"/>
      <c r="F27" s="11"/>
      <c r="G27" s="15"/>
      <c r="H27" s="15"/>
      <c r="I27" s="11"/>
      <c r="J27" s="11"/>
      <c r="K27" s="11"/>
      <c r="L27" s="15"/>
      <c r="M27" s="15"/>
      <c r="N27" s="12"/>
      <c r="O27" s="12"/>
      <c r="P27" s="12"/>
      <c r="R27" s="162" t="s">
        <v>136</v>
      </c>
      <c r="S27" s="162" t="s">
        <v>136</v>
      </c>
      <c r="T27" s="159"/>
      <c r="V27" s="12"/>
      <c r="W27" s="12"/>
      <c r="X27" s="12"/>
      <c r="Y27" s="12"/>
      <c r="Z27" s="12"/>
    </row>
    <row r="28" spans="2:26">
      <c r="B28" s="15"/>
      <c r="C28" s="15"/>
      <c r="D28" s="15"/>
      <c r="E28" s="11"/>
      <c r="F28" s="11"/>
      <c r="G28" s="15"/>
      <c r="H28" s="15"/>
      <c r="I28" s="11"/>
      <c r="J28" s="11"/>
      <c r="K28" s="11"/>
      <c r="L28" s="15"/>
      <c r="M28" s="15"/>
      <c r="N28" s="12"/>
      <c r="O28" s="12"/>
      <c r="P28" s="12"/>
      <c r="R28" s="162" t="s">
        <v>136</v>
      </c>
      <c r="S28" s="162" t="s">
        <v>136</v>
      </c>
      <c r="T28" s="159"/>
      <c r="V28" s="12"/>
      <c r="W28" s="12"/>
      <c r="X28" s="12"/>
      <c r="Y28" s="12"/>
      <c r="Z28" s="12"/>
    </row>
    <row r="29" spans="2:26">
      <c r="B29" s="15"/>
      <c r="C29" s="15"/>
      <c r="D29" s="15"/>
      <c r="E29" s="11"/>
      <c r="F29" s="11"/>
      <c r="G29" s="15"/>
      <c r="H29" s="15"/>
      <c r="I29" s="11"/>
      <c r="J29" s="11"/>
      <c r="K29" s="11"/>
      <c r="L29" s="15"/>
      <c r="M29" s="15"/>
      <c r="N29" s="12"/>
      <c r="O29" s="14"/>
      <c r="P29" s="12"/>
      <c r="R29" s="162" t="s">
        <v>136</v>
      </c>
      <c r="S29" s="162" t="s">
        <v>136</v>
      </c>
      <c r="T29" s="159"/>
      <c r="V29" s="12"/>
      <c r="W29" s="12"/>
      <c r="X29" s="12"/>
      <c r="Y29" s="12"/>
      <c r="Z29" s="12"/>
    </row>
    <row r="30" spans="2:26">
      <c r="B30" s="15"/>
      <c r="C30" s="15"/>
      <c r="D30" s="15"/>
      <c r="E30" s="11"/>
      <c r="F30" s="11"/>
      <c r="G30" s="15"/>
      <c r="H30" s="15"/>
      <c r="I30" s="11"/>
      <c r="J30" s="11"/>
      <c r="K30" s="11"/>
      <c r="L30" s="15"/>
      <c r="M30" s="15"/>
      <c r="N30" s="14"/>
      <c r="O30" s="12"/>
      <c r="P30" s="12"/>
      <c r="R30" s="162" t="s">
        <v>136</v>
      </c>
      <c r="S30" s="162" t="s">
        <v>136</v>
      </c>
      <c r="T30" s="159"/>
      <c r="V30" s="12"/>
      <c r="W30" s="12"/>
      <c r="X30" s="12"/>
      <c r="Y30" s="12"/>
      <c r="Z30" s="12"/>
    </row>
    <row r="31" spans="2:26">
      <c r="B31" s="15"/>
      <c r="C31" s="15"/>
      <c r="D31" s="15"/>
      <c r="E31" s="11"/>
      <c r="F31" s="11"/>
      <c r="G31" s="15"/>
      <c r="H31" s="15"/>
      <c r="I31" s="11"/>
      <c r="J31" s="11"/>
      <c r="K31" s="11"/>
      <c r="L31" s="15"/>
      <c r="M31" s="15"/>
      <c r="N31" s="14"/>
      <c r="O31" s="12"/>
      <c r="P31" s="12"/>
      <c r="R31" s="162" t="s">
        <v>136</v>
      </c>
      <c r="S31" s="162" t="s">
        <v>136</v>
      </c>
      <c r="T31" s="159"/>
      <c r="V31" s="12"/>
      <c r="W31" s="12"/>
      <c r="X31" s="12"/>
      <c r="Y31" s="12"/>
      <c r="Z31" s="12"/>
    </row>
    <row r="32" spans="2:26">
      <c r="B32" s="15"/>
      <c r="C32" s="15"/>
      <c r="D32" s="15"/>
      <c r="E32" s="11"/>
      <c r="F32" s="11"/>
      <c r="G32" s="15"/>
      <c r="H32" s="15"/>
      <c r="I32" s="11"/>
      <c r="J32" s="11"/>
      <c r="K32" s="11"/>
      <c r="L32" s="15"/>
      <c r="M32" s="15"/>
      <c r="N32" s="14"/>
      <c r="O32" s="12"/>
      <c r="P32" s="12"/>
      <c r="R32" s="162" t="s">
        <v>136</v>
      </c>
      <c r="S32" s="162" t="s">
        <v>136</v>
      </c>
      <c r="T32" s="159"/>
      <c r="V32" s="12"/>
      <c r="W32" s="12"/>
      <c r="X32" s="12"/>
      <c r="Y32" s="12"/>
      <c r="Z32" s="12"/>
    </row>
    <row r="33" spans="2:26">
      <c r="B33" s="15"/>
      <c r="C33" s="15"/>
      <c r="D33" s="15"/>
      <c r="E33" s="11"/>
      <c r="F33" s="11"/>
      <c r="G33" s="15"/>
      <c r="H33" s="15"/>
      <c r="I33" s="11"/>
      <c r="J33" s="11"/>
      <c r="K33" s="11"/>
      <c r="L33" s="15"/>
      <c r="M33" s="15"/>
      <c r="N33" s="14"/>
      <c r="O33" s="12"/>
      <c r="P33" s="12"/>
      <c r="R33" s="162" t="s">
        <v>136</v>
      </c>
      <c r="S33" s="162" t="s">
        <v>136</v>
      </c>
      <c r="T33" s="159"/>
      <c r="V33" s="12"/>
      <c r="W33" s="12"/>
      <c r="X33" s="12"/>
      <c r="Y33" s="12"/>
      <c r="Z33" s="12"/>
    </row>
    <row r="34" spans="2:26">
      <c r="B34" s="15"/>
      <c r="C34" s="15"/>
      <c r="D34" s="15"/>
      <c r="E34" s="11"/>
      <c r="F34" s="11"/>
      <c r="G34" s="15"/>
      <c r="H34" s="15"/>
      <c r="I34" s="11"/>
      <c r="J34" s="11"/>
      <c r="K34" s="11"/>
      <c r="L34" s="15"/>
      <c r="M34" s="15"/>
      <c r="N34" s="14"/>
      <c r="O34" s="12"/>
      <c r="P34" s="12"/>
      <c r="R34" s="162" t="s">
        <v>136</v>
      </c>
      <c r="S34" s="162" t="s">
        <v>136</v>
      </c>
      <c r="T34" s="159"/>
      <c r="V34" s="12"/>
      <c r="W34" s="12"/>
      <c r="X34" s="12"/>
      <c r="Y34" s="12"/>
      <c r="Z34" s="12"/>
    </row>
    <row r="35" spans="2:26">
      <c r="B35" s="15" t="s">
        <v>43</v>
      </c>
      <c r="C35" s="15" t="s">
        <v>16</v>
      </c>
      <c r="D35" s="15" t="s">
        <v>17</v>
      </c>
      <c r="E35" s="11">
        <v>8</v>
      </c>
      <c r="F35" s="11" t="s">
        <v>86</v>
      </c>
      <c r="G35" s="19" t="s">
        <v>135</v>
      </c>
      <c r="H35" s="15"/>
      <c r="I35" s="11"/>
      <c r="J35" s="11"/>
      <c r="K35" s="11"/>
      <c r="L35" s="15" t="s">
        <v>82</v>
      </c>
      <c r="M35" s="15" t="s">
        <v>14</v>
      </c>
      <c r="N35" s="12"/>
      <c r="O35" s="12"/>
      <c r="P35" s="12"/>
      <c r="R35" s="162" t="s">
        <v>136</v>
      </c>
      <c r="S35" s="162" t="s">
        <v>136</v>
      </c>
      <c r="T35" s="159"/>
      <c r="V35" s="12"/>
      <c r="W35" s="12"/>
      <c r="X35" s="12"/>
      <c r="Y35" s="12"/>
      <c r="Z35" s="12"/>
    </row>
    <row r="36" spans="2:26">
      <c r="B36" s="15" t="s">
        <v>44</v>
      </c>
      <c r="C36" s="15" t="s">
        <v>18</v>
      </c>
      <c r="D36" s="15" t="s">
        <v>17</v>
      </c>
      <c r="E36" s="11">
        <v>8</v>
      </c>
      <c r="F36" s="11" t="s">
        <v>86</v>
      </c>
      <c r="G36" s="19" t="s">
        <v>135</v>
      </c>
      <c r="H36" s="15"/>
      <c r="I36" s="11"/>
      <c r="J36" s="11"/>
      <c r="K36" s="11"/>
      <c r="L36" s="15" t="s">
        <v>82</v>
      </c>
      <c r="M36" s="15" t="s">
        <v>14</v>
      </c>
      <c r="N36" s="12"/>
      <c r="O36" s="12"/>
      <c r="P36" s="12"/>
      <c r="R36" s="162" t="s">
        <v>136</v>
      </c>
      <c r="S36" s="162" t="s">
        <v>136</v>
      </c>
      <c r="T36" s="159"/>
      <c r="V36" s="12"/>
      <c r="W36" s="12"/>
      <c r="X36" s="12"/>
      <c r="Y36" s="12"/>
      <c r="Z36" s="12"/>
    </row>
    <row r="37" spans="2:26">
      <c r="B37" s="15" t="s">
        <v>19</v>
      </c>
      <c r="C37" s="15" t="s">
        <v>20</v>
      </c>
      <c r="D37" s="15" t="s">
        <v>13</v>
      </c>
      <c r="E37" s="11">
        <v>40</v>
      </c>
      <c r="F37" s="11" t="s">
        <v>86</v>
      </c>
      <c r="G37" s="15"/>
      <c r="H37" s="15"/>
      <c r="I37" s="11"/>
      <c r="J37" s="11"/>
      <c r="K37" s="11"/>
      <c r="L37" s="15" t="s">
        <v>78</v>
      </c>
      <c r="M37" s="15" t="s">
        <v>14</v>
      </c>
      <c r="N37" s="12"/>
      <c r="O37" s="12"/>
      <c r="P37" s="12"/>
      <c r="R37" s="162" t="s">
        <v>136</v>
      </c>
      <c r="S37" s="162" t="s">
        <v>136</v>
      </c>
      <c r="T37" s="159"/>
      <c r="V37" s="12"/>
      <c r="W37" s="12"/>
      <c r="X37" s="12"/>
      <c r="Y37" s="12"/>
      <c r="Z37" s="12"/>
    </row>
    <row r="38" spans="2:26">
      <c r="B38" s="15" t="s">
        <v>21</v>
      </c>
      <c r="C38" s="15" t="s">
        <v>22</v>
      </c>
      <c r="D38" s="15" t="s">
        <v>13</v>
      </c>
      <c r="E38" s="11">
        <v>40</v>
      </c>
      <c r="F38" s="11" t="s">
        <v>86</v>
      </c>
      <c r="G38" s="15"/>
      <c r="H38" s="15"/>
      <c r="I38" s="11"/>
      <c r="J38" s="11"/>
      <c r="K38" s="11"/>
      <c r="L38" s="15" t="s">
        <v>78</v>
      </c>
      <c r="M38" s="15" t="s">
        <v>14</v>
      </c>
      <c r="N38" s="12"/>
      <c r="O38" s="12"/>
      <c r="P38" s="12"/>
      <c r="R38" s="162" t="s">
        <v>136</v>
      </c>
      <c r="S38" s="162" t="s">
        <v>136</v>
      </c>
      <c r="T38" s="159"/>
      <c r="V38" s="12"/>
      <c r="W38" s="12"/>
      <c r="X38" s="12"/>
      <c r="Y38" s="12"/>
      <c r="Z38" s="12"/>
    </row>
    <row r="39" spans="2:26" ht="25.2">
      <c r="B39" s="15" t="s">
        <v>45</v>
      </c>
      <c r="C39" s="15" t="s">
        <v>46</v>
      </c>
      <c r="D39" s="15" t="s">
        <v>13</v>
      </c>
      <c r="E39" s="11">
        <v>10</v>
      </c>
      <c r="F39" s="11" t="s">
        <v>86</v>
      </c>
      <c r="G39" s="15"/>
      <c r="H39" s="15"/>
      <c r="I39" s="11"/>
      <c r="J39" s="11"/>
      <c r="K39" s="11"/>
      <c r="L39" s="15" t="s">
        <v>83</v>
      </c>
      <c r="M39" s="15" t="s">
        <v>14</v>
      </c>
      <c r="N39" s="12" t="s">
        <v>62</v>
      </c>
      <c r="O39" s="14" t="s">
        <v>63</v>
      </c>
      <c r="P39" s="12"/>
      <c r="R39" s="162" t="s">
        <v>136</v>
      </c>
      <c r="S39" s="162" t="s">
        <v>136</v>
      </c>
      <c r="T39" s="159"/>
      <c r="V39" s="12"/>
      <c r="W39" s="12"/>
      <c r="X39" s="12"/>
      <c r="Y39" s="12"/>
      <c r="Z39" s="12"/>
    </row>
    <row r="57" spans="18:20">
      <c r="R57" s="29"/>
      <c r="S57" s="29"/>
      <c r="T57" s="29"/>
    </row>
    <row r="58" spans="18:20">
      <c r="R58" s="29"/>
      <c r="S58" s="29"/>
      <c r="T58" s="29"/>
    </row>
    <row r="59" spans="18:20">
      <c r="R59" s="29"/>
      <c r="S59" s="29"/>
      <c r="T59" s="29"/>
    </row>
    <row r="60" spans="18:20">
      <c r="R60" s="29"/>
      <c r="S60" s="29"/>
      <c r="T60" s="29"/>
    </row>
    <row r="61" spans="18:20">
      <c r="R61" s="29"/>
      <c r="S61" s="29"/>
      <c r="T61" s="29"/>
    </row>
    <row r="62" spans="18:20">
      <c r="R62" s="29"/>
      <c r="S62" s="29"/>
      <c r="T62" s="29"/>
    </row>
    <row r="63" spans="18:20">
      <c r="R63" s="29"/>
      <c r="S63" s="29"/>
      <c r="T63" s="29"/>
    </row>
    <row r="64" spans="18:20">
      <c r="R64" s="29"/>
      <c r="S64" s="29"/>
      <c r="T64" s="29"/>
    </row>
    <row r="65" spans="18:20">
      <c r="R65" s="44"/>
      <c r="S65" s="44"/>
      <c r="T65" s="44"/>
    </row>
    <row r="66" spans="18:20">
      <c r="R66" s="44"/>
      <c r="S66" s="44"/>
      <c r="T66" s="44"/>
    </row>
    <row r="67" spans="18:20">
      <c r="R67" s="44"/>
      <c r="S67" s="44"/>
      <c r="T67" s="44"/>
    </row>
    <row r="68" spans="18:20">
      <c r="R68" s="44"/>
      <c r="S68" s="44"/>
      <c r="T68" s="44"/>
    </row>
    <row r="69" spans="18:20">
      <c r="R69" s="44"/>
      <c r="S69" s="44"/>
      <c r="T69" s="44"/>
    </row>
    <row r="70" spans="18:20">
      <c r="R70" s="44"/>
      <c r="S70" s="44"/>
      <c r="T70" s="44"/>
    </row>
    <row r="71" spans="18:20">
      <c r="R71" s="44"/>
      <c r="S71" s="44"/>
      <c r="T71" s="44"/>
    </row>
    <row r="72" spans="18:20">
      <c r="R72" s="44"/>
      <c r="S72" s="44"/>
      <c r="T72" s="44"/>
    </row>
    <row r="73" spans="18:20">
      <c r="R73" s="44"/>
      <c r="S73" s="44"/>
      <c r="T73" s="44"/>
    </row>
    <row r="74" spans="18:20">
      <c r="R74" s="44"/>
      <c r="S74" s="44"/>
      <c r="T74" s="44"/>
    </row>
    <row r="75" spans="18:20">
      <c r="R75" s="44"/>
      <c r="S75" s="44"/>
      <c r="T75" s="44"/>
    </row>
    <row r="76" spans="18:20">
      <c r="R76" s="44"/>
      <c r="S76" s="44"/>
      <c r="T76" s="44"/>
    </row>
    <row r="77" spans="18:20">
      <c r="R77" s="44"/>
      <c r="S77" s="44"/>
      <c r="T77" s="44"/>
    </row>
    <row r="78" spans="18:20">
      <c r="R78" s="44"/>
      <c r="S78" s="44"/>
      <c r="T78" s="44"/>
    </row>
    <row r="79" spans="18:20">
      <c r="R79" s="44"/>
      <c r="S79" s="44"/>
      <c r="T79" s="44"/>
    </row>
    <row r="80" spans="18:20">
      <c r="R80" s="44"/>
      <c r="S80" s="44"/>
      <c r="T80" s="44"/>
    </row>
    <row r="81" spans="18:20">
      <c r="R81" s="44"/>
      <c r="S81" s="44"/>
      <c r="T81" s="44"/>
    </row>
    <row r="82" spans="18:20">
      <c r="R82" s="44"/>
      <c r="S82" s="44"/>
      <c r="T82" s="44"/>
    </row>
    <row r="83" spans="18:20">
      <c r="R83" s="44"/>
      <c r="S83" s="44"/>
      <c r="T83" s="44"/>
    </row>
    <row r="84" spans="18:20">
      <c r="R84" s="44"/>
      <c r="S84" s="44"/>
      <c r="T84" s="44"/>
    </row>
    <row r="85" spans="18:20">
      <c r="R85" s="44"/>
      <c r="S85" s="44"/>
      <c r="T85" s="44"/>
    </row>
    <row r="86" spans="18:20">
      <c r="R86" s="44"/>
      <c r="S86" s="44"/>
      <c r="T86" s="44"/>
    </row>
    <row r="87" spans="18:20">
      <c r="R87" s="44"/>
      <c r="S87" s="44"/>
      <c r="T87" s="44"/>
    </row>
    <row r="88" spans="18:20">
      <c r="R88" s="44"/>
      <c r="S88" s="44"/>
      <c r="T88" s="44"/>
    </row>
    <row r="89" spans="18:20">
      <c r="R89" s="44"/>
      <c r="S89" s="44"/>
      <c r="T89" s="44"/>
    </row>
    <row r="90" spans="18:20">
      <c r="R90" s="44"/>
      <c r="S90" s="44"/>
      <c r="T90" s="44"/>
    </row>
    <row r="91" spans="18:20">
      <c r="R91" s="44"/>
      <c r="S91" s="44"/>
      <c r="T91" s="44"/>
    </row>
    <row r="92" spans="18:20">
      <c r="R92" s="44"/>
      <c r="S92" s="44"/>
      <c r="T92" s="44"/>
    </row>
    <row r="93" spans="18:20">
      <c r="R93" s="44"/>
      <c r="S93" s="44"/>
      <c r="T93" s="44"/>
    </row>
    <row r="94" spans="18:20">
      <c r="R94" s="44"/>
      <c r="S94" s="44"/>
      <c r="T94" s="44"/>
    </row>
    <row r="95" spans="18:20">
      <c r="R95" s="44"/>
      <c r="S95" s="44"/>
      <c r="T95" s="44"/>
    </row>
    <row r="96" spans="18:20">
      <c r="R96" s="44"/>
      <c r="S96" s="44"/>
      <c r="T96" s="44"/>
    </row>
    <row r="97" spans="18:20">
      <c r="R97" s="44"/>
      <c r="S97" s="44"/>
      <c r="T97" s="44"/>
    </row>
    <row r="98" spans="18:20">
      <c r="R98" s="44"/>
      <c r="S98" s="44"/>
      <c r="T98" s="44"/>
    </row>
    <row r="99" spans="18:20">
      <c r="R99" s="44"/>
      <c r="S99" s="44"/>
      <c r="T99" s="44"/>
    </row>
    <row r="100" spans="18:20">
      <c r="R100" s="44"/>
      <c r="S100" s="44"/>
      <c r="T100" s="44"/>
    </row>
    <row r="101" spans="18:20">
      <c r="R101" s="44"/>
      <c r="S101" s="44"/>
      <c r="T101" s="44"/>
    </row>
    <row r="102" spans="18:20">
      <c r="R102" s="44"/>
      <c r="S102" s="44"/>
      <c r="T102" s="44"/>
    </row>
    <row r="103" spans="18:20">
      <c r="R103" s="44"/>
      <c r="S103" s="44"/>
      <c r="T103" s="44"/>
    </row>
    <row r="104" spans="18:20">
      <c r="R104" s="44"/>
      <c r="S104" s="44"/>
      <c r="T104" s="44"/>
    </row>
    <row r="105" spans="18:20">
      <c r="R105" s="44"/>
      <c r="S105" s="44"/>
      <c r="T105" s="44"/>
    </row>
    <row r="106" spans="18:20">
      <c r="R106" s="44"/>
      <c r="S106" s="44"/>
      <c r="T106" s="44"/>
    </row>
    <row r="107" spans="18:20">
      <c r="R107" s="44"/>
      <c r="S107" s="44"/>
      <c r="T107" s="44"/>
    </row>
    <row r="108" spans="18:20">
      <c r="R108" s="44"/>
      <c r="S108" s="44"/>
      <c r="T108" s="44"/>
    </row>
    <row r="109" spans="18:20">
      <c r="R109" s="44"/>
      <c r="S109" s="44"/>
      <c r="T109" s="44"/>
    </row>
    <row r="110" spans="18:20">
      <c r="R110" s="44"/>
      <c r="S110" s="44"/>
      <c r="T110" s="44"/>
    </row>
    <row r="111" spans="18:20">
      <c r="R111" s="44"/>
      <c r="S111" s="44"/>
      <c r="T111" s="44"/>
    </row>
    <row r="112" spans="18:20">
      <c r="R112" s="44"/>
      <c r="S112" s="44"/>
      <c r="T112" s="44"/>
    </row>
    <row r="113" spans="18:20">
      <c r="R113" s="44"/>
      <c r="S113" s="44"/>
      <c r="T113" s="44"/>
    </row>
    <row r="114" spans="18:20">
      <c r="R114" s="44"/>
      <c r="S114" s="44"/>
      <c r="T114" s="44"/>
    </row>
    <row r="115" spans="18:20">
      <c r="R115" s="44"/>
      <c r="S115" s="44"/>
      <c r="T115" s="44"/>
    </row>
    <row r="116" spans="18:20">
      <c r="R116" s="44"/>
      <c r="S116" s="44"/>
      <c r="T116" s="44"/>
    </row>
    <row r="117" spans="18:20">
      <c r="R117" s="44"/>
      <c r="S117" s="44"/>
      <c r="T117" s="44"/>
    </row>
    <row r="118" spans="18:20">
      <c r="R118" s="44"/>
      <c r="S118" s="44"/>
      <c r="T118" s="44"/>
    </row>
    <row r="119" spans="18:20">
      <c r="R119" s="44"/>
      <c r="S119" s="44"/>
      <c r="T119" s="44"/>
    </row>
    <row r="120" spans="18:20">
      <c r="R120" s="44"/>
      <c r="S120" s="44"/>
      <c r="T120" s="44"/>
    </row>
    <row r="121" spans="18:20">
      <c r="R121" s="44"/>
      <c r="S121" s="44"/>
      <c r="T121" s="44"/>
    </row>
    <row r="122" spans="18:20">
      <c r="R122" s="44"/>
      <c r="S122" s="44"/>
      <c r="T122" s="44"/>
    </row>
    <row r="123" spans="18:20">
      <c r="R123" s="44"/>
      <c r="S123" s="44"/>
      <c r="T123" s="44"/>
    </row>
    <row r="124" spans="18:20">
      <c r="R124" s="44"/>
      <c r="S124" s="44"/>
      <c r="T124" s="44"/>
    </row>
    <row r="125" spans="18:20">
      <c r="R125" s="44"/>
      <c r="S125" s="44"/>
      <c r="T125" s="44"/>
    </row>
    <row r="126" spans="18:20">
      <c r="R126" s="44"/>
      <c r="S126" s="44"/>
      <c r="T126" s="44"/>
    </row>
    <row r="127" spans="18:20">
      <c r="R127" s="44"/>
      <c r="S127" s="44"/>
      <c r="T127" s="44"/>
    </row>
    <row r="128" spans="18:20">
      <c r="R128" s="44"/>
      <c r="S128" s="44"/>
      <c r="T128" s="44"/>
    </row>
    <row r="129" spans="18:20">
      <c r="R129" s="44"/>
      <c r="S129" s="44"/>
      <c r="T129" s="44"/>
    </row>
    <row r="130" spans="18:20">
      <c r="R130" s="44"/>
      <c r="S130" s="44"/>
      <c r="T130" s="44"/>
    </row>
    <row r="131" spans="18:20">
      <c r="R131" s="44"/>
      <c r="S131" s="44"/>
      <c r="T131" s="44"/>
    </row>
    <row r="132" spans="18:20">
      <c r="R132" s="44"/>
      <c r="S132" s="44"/>
      <c r="T132" s="44"/>
    </row>
    <row r="133" spans="18:20">
      <c r="R133" s="44"/>
      <c r="S133" s="44"/>
      <c r="T133" s="44"/>
    </row>
    <row r="134" spans="18:20">
      <c r="R134" s="44"/>
      <c r="S134" s="44"/>
      <c r="T134" s="44"/>
    </row>
    <row r="135" spans="18:20">
      <c r="R135" s="44"/>
      <c r="S135" s="44"/>
      <c r="T135" s="44"/>
    </row>
    <row r="136" spans="18:20">
      <c r="R136" s="44"/>
      <c r="S136" s="44"/>
      <c r="T136" s="44"/>
    </row>
    <row r="137" spans="18:20">
      <c r="R137" s="44"/>
      <c r="S137" s="44"/>
      <c r="T137" s="44"/>
    </row>
    <row r="138" spans="18:20">
      <c r="R138" s="44"/>
      <c r="S138" s="44"/>
      <c r="T138" s="44"/>
    </row>
  </sheetData>
  <mergeCells count="4">
    <mergeCell ref="D5:F5"/>
    <mergeCell ref="H5:P5"/>
    <mergeCell ref="D6:F6"/>
    <mergeCell ref="H6:P6"/>
  </mergeCells>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24</vt:i4>
      </vt:variant>
    </vt:vector>
  </HeadingPairs>
  <TitlesOfParts>
    <vt:vector size="24" baseType="lpstr">
      <vt:lpstr>法人会員情報マスタ２</vt:lpstr>
      <vt:lpstr>改版履歴</vt:lpstr>
      <vt:lpstr>テーブル一覧</vt:lpstr>
      <vt:lpstr>インデックス一覧</vt:lpstr>
      <vt:lpstr>トリガー一覧</vt:lpstr>
      <vt:lpstr>コンテンツ管理</vt:lpstr>
      <vt:lpstr>コンテンツ管理履歴</vt:lpstr>
      <vt:lpstr>商品グループ属性</vt:lpstr>
      <vt:lpstr>法人会員情報マスタ</vt:lpstr>
      <vt:lpstr>アンケートマスタ</vt:lpstr>
      <vt:lpstr>アンケートマスタ履歴</vt:lpstr>
      <vt:lpstr>オペレータ管理</vt:lpstr>
      <vt:lpstr>オペレータ管理履歴</vt:lpstr>
      <vt:lpstr>オペレーションログ</vt:lpstr>
      <vt:lpstr>管理オペレーションログ</vt:lpstr>
      <vt:lpstr>DGFTプッシュ通知履歴</vt:lpstr>
      <vt:lpstr>AmazonPay履歴</vt:lpstr>
      <vt:lpstr>リキャプチャ履歴</vt:lpstr>
      <vt:lpstr>ログインセッション</vt:lpstr>
      <vt:lpstr>汎用マスタ</vt:lpstr>
      <vt:lpstr>API履歴</vt:lpstr>
      <vt:lpstr>EC店舗マスタ</vt:lpstr>
      <vt:lpstr>ベリトランス履歴 (元)</vt:lpstr>
      <vt:lpstr>テーブルテンプレート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sateraito111</dc:creator>
  <cp:lastModifiedBy>shimei sou</cp:lastModifiedBy>
  <dcterms:created xsi:type="dcterms:W3CDTF">2023-08-01T06:13:31Z</dcterms:created>
  <dcterms:modified xsi:type="dcterms:W3CDTF">2024-12-04T08:22:51Z</dcterms:modified>
</cp:coreProperties>
</file>